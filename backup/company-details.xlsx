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F56D39C-6620-4F60-8F1B-A611658A885C}" xr6:coauthVersionLast="40" xr6:coauthVersionMax="40" xr10:uidLastSave="{00000000-0000-0000-0000-000000000000}"/>
  <bookViews>
    <workbookView xWindow="0" yWindow="0" windowWidth="28800" windowHeight="12225" xr2:uid="{FFFA07E8-28D5-4F4E-885A-3FD0685B71C7}"/>
  </bookViews>
  <sheets>
    <sheet name="Company_Master" sheetId="1" r:id="rId1"/>
    <sheet name="Employee_Master" sheetId="5" r:id="rId2"/>
    <sheet name="Com_Scr" sheetId="10" r:id="rId3"/>
    <sheet name="Marketing List" sheetId="11" r:id="rId4"/>
  </sheets>
  <definedNames>
    <definedName name="_xlnm._FilterDatabase" localSheetId="2" hidden="1">Com_Scr!$A$1:$D$32</definedName>
    <definedName name="_xlnm._FilterDatabase" localSheetId="1" hidden="1">Employee_Master!$A$1:$J$392</definedName>
    <definedName name="_xlnm.Print_Area" localSheetId="2">Com_Scr!$A$1:$D$45</definedName>
    <definedName name="_xlnm.Print_Area" localSheetId="0">Company_Master!$A$1:$K$249</definedName>
    <definedName name="_xlnm.Print_Area" localSheetId="1">Employee_Master!$A$1:$L$392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5" l="1"/>
  <c r="C3" i="5"/>
  <c r="E42" i="10" l="1"/>
  <c r="R283" i="5"/>
  <c r="Q283" i="5"/>
  <c r="C42" i="10"/>
  <c r="C41" i="10"/>
  <c r="C12" i="10" l="1"/>
  <c r="C6" i="10" l="1"/>
  <c r="C35" i="10"/>
  <c r="C21" i="10"/>
  <c r="C40" i="10"/>
  <c r="C39" i="10"/>
  <c r="C22" i="10"/>
  <c r="C34" i="10"/>
  <c r="C33" i="10"/>
  <c r="C23" i="10" l="1"/>
  <c r="C26" i="10" l="1"/>
  <c r="C25" i="10"/>
  <c r="C19" i="10"/>
  <c r="C18" i="10"/>
  <c r="C16" i="10"/>
  <c r="C15" i="10"/>
  <c r="C13" i="10"/>
  <c r="C17" i="10"/>
  <c r="C24" i="10"/>
  <c r="C14" i="10"/>
  <c r="C3" i="10"/>
  <c r="C4" i="10"/>
  <c r="C5" i="10"/>
  <c r="C7" i="10"/>
  <c r="C8" i="10"/>
  <c r="C9" i="10"/>
  <c r="C10" i="10"/>
  <c r="C11" i="10"/>
  <c r="C20" i="10"/>
  <c r="C27" i="10"/>
  <c r="C28" i="10"/>
  <c r="C29" i="10"/>
  <c r="C30" i="10"/>
  <c r="C31" i="10"/>
  <c r="C32" i="10"/>
  <c r="C36" i="10"/>
  <c r="C37" i="10"/>
  <c r="C38" i="10"/>
  <c r="C2" i="10"/>
  <c r="B4" i="5"/>
  <c r="B3" i="5"/>
  <c r="B2" i="5"/>
  <c r="C346" i="5" l="1"/>
  <c r="C347" i="5"/>
  <c r="C353" i="5"/>
  <c r="C358" i="5"/>
  <c r="C357" i="5"/>
  <c r="C360" i="5"/>
  <c r="C354" i="5"/>
  <c r="C359" i="5"/>
  <c r="C352" i="5"/>
  <c r="C349" i="5"/>
  <c r="C348" i="5"/>
  <c r="C350" i="5"/>
  <c r="C355" i="5"/>
  <c r="C356" i="5"/>
  <c r="C351" i="5"/>
  <c r="C251" i="5"/>
  <c r="C254" i="5"/>
  <c r="C263" i="5"/>
  <c r="C265" i="5"/>
  <c r="C373" i="5"/>
  <c r="C372" i="5"/>
  <c r="C377" i="5"/>
  <c r="C369" i="5"/>
  <c r="C376" i="5"/>
  <c r="C371" i="5"/>
  <c r="C337" i="5"/>
  <c r="C370" i="5"/>
  <c r="C336" i="5"/>
  <c r="C374" i="5"/>
  <c r="C375" i="5"/>
  <c r="C335" i="5"/>
  <c r="C378" i="5"/>
  <c r="C367" i="5"/>
  <c r="C368" i="5"/>
  <c r="C267" i="5"/>
  <c r="C324" i="5"/>
  <c r="C326" i="5"/>
  <c r="C342" i="5"/>
  <c r="C345" i="5"/>
  <c r="C323" i="5"/>
  <c r="C339" i="5"/>
  <c r="C340" i="5"/>
  <c r="C343" i="5"/>
  <c r="C325" i="5"/>
  <c r="C327" i="5"/>
  <c r="C344" i="5"/>
  <c r="C338" i="5"/>
  <c r="C328" i="5"/>
  <c r="C341" i="5"/>
  <c r="C261" i="5"/>
  <c r="C256" i="5"/>
  <c r="C257" i="5"/>
  <c r="C253" i="5"/>
  <c r="C361" i="5"/>
  <c r="C366" i="5"/>
  <c r="C362" i="5"/>
  <c r="C363" i="5"/>
  <c r="C364" i="5"/>
  <c r="C259" i="5"/>
  <c r="C264" i="5"/>
  <c r="C252" i="5"/>
  <c r="C255" i="5"/>
  <c r="C334" i="5"/>
  <c r="C331" i="5"/>
  <c r="C329" i="5"/>
  <c r="C330" i="5"/>
  <c r="C333" i="5"/>
  <c r="C332" i="5"/>
  <c r="C135" i="5"/>
  <c r="C133" i="5"/>
  <c r="C139" i="5"/>
  <c r="C137" i="5"/>
  <c r="C136" i="5"/>
  <c r="C140" i="5"/>
  <c r="C138" i="5"/>
  <c r="C134" i="5"/>
  <c r="C381" i="5"/>
  <c r="C380" i="5"/>
  <c r="C379" i="5"/>
  <c r="C258" i="5"/>
  <c r="C262" i="5"/>
  <c r="C266" i="5"/>
  <c r="C260" i="5"/>
  <c r="E7" i="10"/>
  <c r="E11" i="10"/>
  <c r="E15" i="10"/>
  <c r="E19" i="10"/>
  <c r="E23" i="10"/>
  <c r="E27" i="10"/>
  <c r="E31" i="10"/>
  <c r="E35" i="10"/>
  <c r="E39" i="10"/>
  <c r="E3" i="10"/>
  <c r="E4" i="10"/>
  <c r="E8" i="10"/>
  <c r="E12" i="10"/>
  <c r="E16" i="10"/>
  <c r="E20" i="10"/>
  <c r="E24" i="10"/>
  <c r="E28" i="10"/>
  <c r="E32" i="10"/>
  <c r="E36" i="10"/>
  <c r="E40" i="10"/>
  <c r="E2" i="10"/>
  <c r="E5" i="10"/>
  <c r="E9" i="10"/>
  <c r="E13" i="10"/>
  <c r="E17" i="10"/>
  <c r="E21" i="10"/>
  <c r="E25" i="10"/>
  <c r="E29" i="10"/>
  <c r="E33" i="10"/>
  <c r="E37" i="10"/>
  <c r="E41" i="10"/>
  <c r="E6" i="10"/>
  <c r="E10" i="10"/>
  <c r="E14" i="10"/>
  <c r="E18" i="10"/>
  <c r="E22" i="10"/>
  <c r="E26" i="10"/>
  <c r="E30" i="10"/>
  <c r="E34" i="10"/>
  <c r="E38" i="10"/>
  <c r="C241" i="5"/>
  <c r="C243" i="5"/>
  <c r="C249" i="5"/>
  <c r="C245" i="5"/>
  <c r="C248" i="5"/>
  <c r="C250" i="5"/>
  <c r="C239" i="5"/>
  <c r="C246" i="5"/>
  <c r="C240" i="5"/>
  <c r="C244" i="5"/>
  <c r="C242" i="5"/>
  <c r="C247" i="5"/>
  <c r="C216" i="5"/>
  <c r="C217" i="5"/>
  <c r="C215" i="5"/>
  <c r="C219" i="5"/>
  <c r="C218" i="5"/>
  <c r="C222" i="5"/>
  <c r="C221" i="5"/>
  <c r="C220" i="5"/>
  <c r="C214" i="5"/>
  <c r="C169" i="5"/>
  <c r="C171" i="5"/>
  <c r="C170" i="5"/>
  <c r="C172" i="5"/>
  <c r="C82" i="5"/>
  <c r="C80" i="5"/>
  <c r="C96" i="5"/>
  <c r="C94" i="5"/>
  <c r="C77" i="5"/>
  <c r="C76" i="5"/>
  <c r="C84" i="5"/>
  <c r="C79" i="5"/>
  <c r="C88" i="5"/>
  <c r="C92" i="5"/>
  <c r="C97" i="5"/>
  <c r="C90" i="5"/>
  <c r="C89" i="5"/>
  <c r="C91" i="5"/>
  <c r="C83" i="5"/>
  <c r="C87" i="5"/>
  <c r="C78" i="5"/>
  <c r="C75" i="5"/>
  <c r="C86" i="5"/>
  <c r="C93" i="5"/>
  <c r="C95" i="5"/>
  <c r="C85" i="5"/>
  <c r="C81" i="5"/>
  <c r="C44" i="5"/>
  <c r="C45" i="5"/>
  <c r="C46" i="5"/>
  <c r="C47" i="5"/>
  <c r="C271" i="5"/>
  <c r="C270" i="5"/>
  <c r="C268" i="5"/>
  <c r="C269" i="5"/>
  <c r="C272" i="5"/>
  <c r="C294" i="5"/>
  <c r="C295" i="5"/>
  <c r="C297" i="5"/>
  <c r="C296" i="5"/>
  <c r="C225" i="5"/>
  <c r="C224" i="5"/>
  <c r="C223" i="5"/>
  <c r="C108" i="5"/>
  <c r="C99" i="5"/>
  <c r="C105" i="5"/>
  <c r="C102" i="5"/>
  <c r="C110" i="5"/>
  <c r="C109" i="5"/>
  <c r="C106" i="5"/>
  <c r="C101" i="5"/>
  <c r="C107" i="5"/>
  <c r="C112" i="5"/>
  <c r="C103" i="5"/>
  <c r="C114" i="5"/>
  <c r="C100" i="5"/>
  <c r="C111" i="5"/>
  <c r="C104" i="5"/>
  <c r="C113" i="5"/>
  <c r="C98" i="5"/>
  <c r="C235" i="5"/>
  <c r="C234" i="5"/>
  <c r="C237" i="5"/>
  <c r="C238" i="5"/>
  <c r="C236" i="5"/>
  <c r="C233" i="5"/>
  <c r="C203" i="5"/>
  <c r="C212" i="5"/>
  <c r="C211" i="5"/>
  <c r="C210" i="5"/>
  <c r="C202" i="5"/>
  <c r="C206" i="5"/>
  <c r="C207" i="5"/>
  <c r="C209" i="5"/>
  <c r="C208" i="5"/>
  <c r="C204" i="5"/>
  <c r="C205" i="5"/>
  <c r="C213" i="5"/>
  <c r="C149" i="5"/>
  <c r="C148" i="5"/>
  <c r="C151" i="5"/>
  <c r="C150" i="5"/>
  <c r="C153" i="5"/>
  <c r="C152" i="5"/>
  <c r="C69" i="5"/>
  <c r="C73" i="5"/>
  <c r="C70" i="5"/>
  <c r="C68" i="5"/>
  <c r="C71" i="5"/>
  <c r="C74" i="5"/>
  <c r="C72" i="5"/>
  <c r="C43" i="5"/>
  <c r="C22" i="5"/>
  <c r="C21" i="5"/>
  <c r="C26" i="5"/>
  <c r="C27" i="5"/>
  <c r="C30" i="5"/>
  <c r="C31" i="5"/>
  <c r="C32" i="5"/>
  <c r="C24" i="5"/>
  <c r="C42" i="5"/>
  <c r="C36" i="5"/>
  <c r="C25" i="5"/>
  <c r="C37" i="5"/>
  <c r="C38" i="5"/>
  <c r="C41" i="5"/>
  <c r="C35" i="5"/>
  <c r="C23" i="5"/>
  <c r="C28" i="5"/>
  <c r="C39" i="5"/>
  <c r="C33" i="5"/>
  <c r="C40" i="5"/>
  <c r="C34" i="5"/>
  <c r="C29" i="5"/>
  <c r="C278" i="5"/>
  <c r="C277" i="5"/>
  <c r="C284" i="5"/>
  <c r="C274" i="5"/>
  <c r="C275" i="5"/>
  <c r="C276" i="5"/>
  <c r="C282" i="5"/>
  <c r="C287" i="5"/>
  <c r="C279" i="5"/>
  <c r="C283" i="5"/>
  <c r="C273" i="5"/>
  <c r="C280" i="5"/>
  <c r="C286" i="5"/>
  <c r="C285" i="5"/>
  <c r="C281" i="5"/>
  <c r="C298" i="5"/>
  <c r="C299" i="5"/>
  <c r="C302" i="5"/>
  <c r="C300" i="5"/>
  <c r="C301" i="5"/>
  <c r="C16" i="5"/>
  <c r="C8" i="5"/>
  <c r="C18" i="5"/>
  <c r="C20" i="5"/>
  <c r="C14" i="5"/>
  <c r="C7" i="5"/>
  <c r="C19" i="5"/>
  <c r="C5" i="5"/>
  <c r="C15" i="5"/>
  <c r="C6" i="5"/>
  <c r="C10" i="5"/>
  <c r="C12" i="5"/>
  <c r="C9" i="5"/>
  <c r="C11" i="5"/>
  <c r="C13" i="5"/>
  <c r="C17" i="5"/>
  <c r="C175" i="5"/>
  <c r="C184" i="5"/>
  <c r="C181" i="5"/>
  <c r="C177" i="5"/>
  <c r="C174" i="5"/>
  <c r="C183" i="5"/>
  <c r="C176" i="5"/>
  <c r="C182" i="5"/>
  <c r="C178" i="5"/>
  <c r="C173" i="5"/>
  <c r="C179" i="5"/>
  <c r="C180" i="5"/>
  <c r="C48" i="5"/>
  <c r="C49" i="5"/>
  <c r="C50" i="5"/>
  <c r="C53" i="5"/>
  <c r="C54" i="5"/>
  <c r="C51" i="5"/>
  <c r="C52" i="5"/>
  <c r="C4" i="5"/>
  <c r="C231" i="5"/>
  <c r="C230" i="5"/>
  <c r="C227" i="5"/>
  <c r="C226" i="5"/>
  <c r="C228" i="5"/>
  <c r="C232" i="5"/>
  <c r="C229" i="5"/>
  <c r="C186" i="5"/>
  <c r="C191" i="5"/>
  <c r="C197" i="5"/>
  <c r="C199" i="5"/>
  <c r="C200" i="5"/>
  <c r="C198" i="5"/>
  <c r="C193" i="5"/>
  <c r="C189" i="5"/>
  <c r="C188" i="5"/>
  <c r="C190" i="5"/>
  <c r="C195" i="5"/>
  <c r="C192" i="5"/>
  <c r="C187" i="5"/>
  <c r="C196" i="5"/>
  <c r="C185" i="5"/>
  <c r="C194" i="5"/>
  <c r="C201" i="5"/>
  <c r="C126" i="5"/>
  <c r="C120" i="5"/>
  <c r="C121" i="5"/>
  <c r="C116" i="5"/>
  <c r="C128" i="5"/>
  <c r="C115" i="5"/>
  <c r="C118" i="5"/>
  <c r="C123" i="5"/>
  <c r="C122" i="5"/>
  <c r="C131" i="5"/>
  <c r="C125" i="5"/>
  <c r="C124" i="5"/>
  <c r="C132" i="5"/>
  <c r="C119" i="5"/>
  <c r="C117" i="5"/>
  <c r="C130" i="5"/>
  <c r="C127" i="5"/>
  <c r="C129" i="5"/>
  <c r="C58" i="5"/>
  <c r="C56" i="5"/>
  <c r="C55" i="5"/>
  <c r="C57" i="5"/>
  <c r="C66" i="5"/>
  <c r="C61" i="5"/>
  <c r="C65" i="5"/>
  <c r="C63" i="5"/>
  <c r="C62" i="5"/>
  <c r="C60" i="5"/>
  <c r="C67" i="5"/>
  <c r="C64" i="5"/>
  <c r="C59" i="5"/>
  <c r="C147" i="5"/>
  <c r="C142" i="5"/>
  <c r="C143" i="5"/>
  <c r="C146" i="5"/>
  <c r="C141" i="5"/>
  <c r="C145" i="5"/>
  <c r="C144" i="5"/>
  <c r="C288" i="5"/>
  <c r="C290" i="5"/>
  <c r="C289" i="5"/>
  <c r="C291" i="5"/>
  <c r="C305" i="5"/>
  <c r="C304" i="5"/>
  <c r="C303" i="5"/>
  <c r="C160" i="5"/>
  <c r="C155" i="5"/>
  <c r="C161" i="5"/>
  <c r="C168" i="5"/>
  <c r="C154" i="5"/>
  <c r="C166" i="5"/>
  <c r="C164" i="5"/>
  <c r="C167" i="5"/>
  <c r="C163" i="5"/>
  <c r="C159" i="5"/>
  <c r="C165" i="5"/>
  <c r="C158" i="5"/>
  <c r="C156" i="5"/>
  <c r="C162" i="5"/>
  <c r="C157" i="5"/>
  <c r="C292" i="5"/>
  <c r="C293" i="5"/>
  <c r="C309" i="5"/>
  <c r="C318" i="5"/>
  <c r="C313" i="5"/>
  <c r="C306" i="5"/>
  <c r="C320" i="5"/>
  <c r="C310" i="5"/>
  <c r="C319" i="5"/>
  <c r="C311" i="5"/>
  <c r="C321" i="5"/>
  <c r="C322" i="5"/>
  <c r="C317" i="5"/>
  <c r="C308" i="5"/>
  <c r="C315" i="5"/>
  <c r="C312" i="5"/>
  <c r="C365" i="5"/>
  <c r="C314" i="5"/>
  <c r="C316" i="5"/>
  <c r="C307" i="5"/>
  <c r="E45" i="10" l="1"/>
</calcChain>
</file>

<file path=xl/sharedStrings.xml><?xml version="1.0" encoding="utf-8"?>
<sst xmlns="http://schemas.openxmlformats.org/spreadsheetml/2006/main" count="1502" uniqueCount="984">
  <si>
    <t>Company Name</t>
  </si>
  <si>
    <t>JTS Cosmetic Trading</t>
  </si>
  <si>
    <t>Modern Minimalistic</t>
  </si>
  <si>
    <t>Pie beauty</t>
  </si>
  <si>
    <t>Easy Style Ladies</t>
  </si>
  <si>
    <t>Barakh event Management</t>
  </si>
  <si>
    <t>brother Company</t>
  </si>
  <si>
    <t>Index</t>
  </si>
  <si>
    <t>Data</t>
  </si>
  <si>
    <t>Estorie Mobile Phone</t>
  </si>
  <si>
    <t>Froied Chicken</t>
  </si>
  <si>
    <t>Kattans</t>
  </si>
  <si>
    <t>Way to Way</t>
  </si>
  <si>
    <t>Haflas Baqala</t>
  </si>
  <si>
    <t>Dazzling Mobile Car Wash</t>
  </si>
  <si>
    <t>Al zawaya</t>
  </si>
  <si>
    <t>Fast Transport Dubai</t>
  </si>
  <si>
    <t>Golden Falcon</t>
  </si>
  <si>
    <t>Yemen saloon</t>
  </si>
  <si>
    <t>Aictech</t>
  </si>
  <si>
    <t>Prominent</t>
  </si>
  <si>
    <t>Sterna World Delivery</t>
  </si>
  <si>
    <t>Top Class Delivery</t>
  </si>
  <si>
    <t>Affas Gift Supermarket</t>
  </si>
  <si>
    <t>Haroos Roastery</t>
  </si>
  <si>
    <t>Barber 89 Saloon</t>
  </si>
  <si>
    <t>Beardmen Saloon</t>
  </si>
  <si>
    <t>Mobile No</t>
  </si>
  <si>
    <t xml:space="preserve">Company Echannel User Name </t>
  </si>
  <si>
    <t>Echannel Password</t>
  </si>
  <si>
    <t>License Expiry Date</t>
  </si>
  <si>
    <t>Pearl Experience</t>
  </si>
  <si>
    <t>Linkcore</t>
  </si>
  <si>
    <t>Sadiq Poli Clinic</t>
  </si>
  <si>
    <t>Desertwaves_cleaning@outlook.com</t>
  </si>
  <si>
    <t>Desert@123</t>
  </si>
  <si>
    <t>DESERT WAVES CLEANING SERVICES - L.L.C - S.P.C</t>
  </si>
  <si>
    <t>Est. Card Expiry</t>
  </si>
  <si>
    <t>Echannel Ex Date</t>
  </si>
  <si>
    <t>27-07-2026</t>
  </si>
  <si>
    <t>22-09-2026</t>
  </si>
  <si>
    <t>DESERT WAVES COMMERCIAL BROKERS - L.L.C - S.P.C</t>
  </si>
  <si>
    <t>desertwavesbrokers@gmail.com</t>
  </si>
  <si>
    <t>Desertbrokers@2017</t>
  </si>
  <si>
    <t>DATTA GENERAL TRADING AND LABORATORY SUPPLIES - L.L.C - S.P.C</t>
  </si>
  <si>
    <t>dattageneral786@gmail.com</t>
  </si>
  <si>
    <t>Aa@123456</t>
  </si>
  <si>
    <t>dattabukharirestaurant@gmail.com</t>
  </si>
  <si>
    <t>Datta@2024</t>
  </si>
  <si>
    <t>Dattagtls@gmail.com</t>
  </si>
  <si>
    <t>Nabeel@123456</t>
  </si>
  <si>
    <t>DATTA HUJWIRI RESTAURANT - L.L.C - S.P.C</t>
  </si>
  <si>
    <t>DATTA BUKHARI RESTAURANT - L.L.C - O.P.C</t>
  </si>
  <si>
    <t>ROYAL KATTANS KITCHEN - L.L.C</t>
  </si>
  <si>
    <t>auhkattans@gmail.com</t>
  </si>
  <si>
    <t>nafinchalil72@gmail.com</t>
  </si>
  <si>
    <t>Tastytreat@2021</t>
  </si>
  <si>
    <t>estorie2023auh@gmail.com</t>
  </si>
  <si>
    <t>19/09/2028</t>
  </si>
  <si>
    <t>Way2waytransport2@gmail.com</t>
  </si>
  <si>
    <t>waywaypassanger@gmail.com</t>
  </si>
  <si>
    <t>WAY 2 WAY TOURS AND SAFARI - L.L.C - S.P.C</t>
  </si>
  <si>
    <t>WAY 2 WAY PASSENGER TRANSPORT BY RENTED BUSES - L.L.C - S.P.C</t>
  </si>
  <si>
    <t>euroarabtourism@gmail.com</t>
  </si>
  <si>
    <t>neelasbeautysalon@gmail.com</t>
  </si>
  <si>
    <t>NEELAS LADIES BEAUTY SALOON - L.L.C - O.P.C</t>
  </si>
  <si>
    <t>LE SIGNATURE MEATS - SOLE PROPRIETORSHIP L.L.C.</t>
  </si>
  <si>
    <t xml:space="preserve"> 09/05/2026</t>
  </si>
  <si>
    <t>lesignature69@gmail.com</t>
  </si>
  <si>
    <t>Lesign@2024</t>
  </si>
  <si>
    <t>AKCELLENCE TRANSPORT PASSENGER BY BUS - L.L.C</t>
  </si>
  <si>
    <t>16/07/2026</t>
  </si>
  <si>
    <t>akcellencetransportcompany@gmail.com</t>
  </si>
  <si>
    <t>tmpropertiesmanagement@gmail.com</t>
  </si>
  <si>
    <t>tmtptllc@gmail.com</t>
  </si>
  <si>
    <t>Pipes@12</t>
  </si>
  <si>
    <t>TECHNO MART TRADING - SOLE PROPRIETORSHIP L.L.C.</t>
  </si>
  <si>
    <t>15/05/2026</t>
  </si>
  <si>
    <t>POPULAR LOGISTICS SERVICES - L.L.C - O.P.C</t>
  </si>
  <si>
    <t>naspopularcargo786@gmail.com</t>
  </si>
  <si>
    <t>HEXA GENERAL MAINTENANCE - L.L.C - S.P.C</t>
  </si>
  <si>
    <t>hexageneralmaintenance1@gmail.com</t>
  </si>
  <si>
    <t>STAR MAC- SHEIKH MAJID</t>
  </si>
  <si>
    <t>EURO ARAB TOURISM - L.L.C - O.P.C</t>
  </si>
  <si>
    <t>wadirentalequipmentconstructio@gmail.com</t>
  </si>
  <si>
    <t>Wadi@2024</t>
  </si>
  <si>
    <t>WADI RENTAL EQUIPMENT CONSTRUCTION - L.L.C - S.P.C</t>
  </si>
  <si>
    <t>TOP SEA FRESH FISH - L.L.C</t>
  </si>
  <si>
    <t xml:space="preserve"> 15/08/2027</t>
  </si>
  <si>
    <t>topseafreshfish@gmail.com</t>
  </si>
  <si>
    <t>Topsea123</t>
  </si>
  <si>
    <t>TOPSEA ELECTROMECHANICAL WORKS AND MAINTENANCE - L.L.C</t>
  </si>
  <si>
    <t>topsea.electromechanichal@gmail.com</t>
  </si>
  <si>
    <t>T M GENERAL MAINTENANCE &amp; PROPERTY - L.L.C - S.P.C</t>
  </si>
  <si>
    <t>19/07/2027</t>
  </si>
  <si>
    <t>18-09-2027</t>
  </si>
  <si>
    <t>PRISM TECHNOLOGY SECURITY SOLUTIONS - L.L.C - S.P.C</t>
  </si>
  <si>
    <t>SUPER FACILITIES MANAGEMENT - L.L.C - S.P.C</t>
  </si>
  <si>
    <t>ILAMA FOODSTUFF TRADING - L.L.C - S.P.C</t>
  </si>
  <si>
    <t>SILVER STONE BAQALA</t>
  </si>
  <si>
    <t>TOP OF TOP ANTONY</t>
  </si>
  <si>
    <t>ALFAS FOOD STUFF</t>
  </si>
  <si>
    <t>BEFIX MAINTENANCY</t>
  </si>
  <si>
    <t>HIGH DÉCOR GENERAL</t>
  </si>
  <si>
    <t>BODY BUILDING</t>
  </si>
  <si>
    <t>MY CUT GENTS SALOON</t>
  </si>
  <si>
    <t>SHAHEEN EXPRESS</t>
  </si>
  <si>
    <t>TARIQ COMPANY</t>
  </si>
  <si>
    <t>UDHAYAM TAMIL</t>
  </si>
  <si>
    <t>ITRAT COMPUTERS</t>
  </si>
  <si>
    <t>PACHA MANGA</t>
  </si>
  <si>
    <t>GT INTERIOR</t>
  </si>
  <si>
    <t>SMART BEST CLEANING</t>
  </si>
  <si>
    <t>DESIRE PROPERTIES</t>
  </si>
  <si>
    <t>TEAM SECURE</t>
  </si>
  <si>
    <t>DHODA KOHAT</t>
  </si>
  <si>
    <t>FRESH AND FINE</t>
  </si>
  <si>
    <t>AL NARJIS</t>
  </si>
  <si>
    <t>RED EAGLE</t>
  </si>
  <si>
    <t>AL MANHAL COSMETICS</t>
  </si>
  <si>
    <t>MADAL AL BUNYIA</t>
  </si>
  <si>
    <t>DELUX TEA</t>
  </si>
  <si>
    <t>AL MUBARAQ BAQALA</t>
  </si>
  <si>
    <t>AL ABRIQ</t>
  </si>
  <si>
    <t>AL REEM BAKERY</t>
  </si>
  <si>
    <t>FRESH AND DEAL VEGETABLE</t>
  </si>
  <si>
    <t>HILONG</t>
  </si>
  <si>
    <t>ALIF ONE - RASHI NEW COMPANY</t>
  </si>
  <si>
    <t>CORE EQUIPEMENT</t>
  </si>
  <si>
    <t>KENSOFT</t>
  </si>
  <si>
    <t>NOVA TECHNICAL NORDERN</t>
  </si>
  <si>
    <t>ROYAL GREEN</t>
  </si>
  <si>
    <t>AHLA BANATH</t>
  </si>
  <si>
    <t>RAGAM TRADING - DUBAI (NOOR)</t>
  </si>
  <si>
    <t>SEA BIRD FRESH - CO RASHI ALIF</t>
  </si>
  <si>
    <t>ALIF STRONG TEA - CO RASHI ALIF</t>
  </si>
  <si>
    <t>FAKR DÉCOR</t>
  </si>
  <si>
    <t>PENTALOGIC</t>
  </si>
  <si>
    <t>METTECH</t>
  </si>
  <si>
    <t>GREEN BAINUNA</t>
  </si>
  <si>
    <t>NOOR STRONG TEA</t>
  </si>
  <si>
    <t>AHMED AL SAEEDI</t>
  </si>
  <si>
    <t>ACN GENERAL</t>
  </si>
  <si>
    <t>HAIR AND FAIR</t>
  </si>
  <si>
    <t>SHAKRIYAL</t>
  </si>
  <si>
    <t>PROPHECY</t>
  </si>
  <si>
    <t>AL THUNAYYA</t>
  </si>
  <si>
    <t>METADOX</t>
  </si>
  <si>
    <t xml:space="preserve">MOHAMED MOHIN </t>
  </si>
  <si>
    <t>D</t>
  </si>
  <si>
    <t>LIMRA MOVES</t>
  </si>
  <si>
    <t>ORCHID</t>
  </si>
  <si>
    <t>AZADI FACILITY - NEW (MIRAI ENG)</t>
  </si>
  <si>
    <t>THUMBI BAQALA</t>
  </si>
  <si>
    <t>KASAB GENTS SALOON</t>
  </si>
  <si>
    <t>FLEXFIT MANS FITNESS CLUB</t>
  </si>
  <si>
    <t>FAISAL ARTS AND BRANCH</t>
  </si>
  <si>
    <t>CAPITAL VIEW</t>
  </si>
  <si>
    <t>FRESH AND DEAL FOOS STUFF</t>
  </si>
  <si>
    <t>GREAT PACHA MANGA</t>
  </si>
  <si>
    <t>WHITE SQUARE - BELLARD</t>
  </si>
  <si>
    <t>TOOLOZ GENERAL CONTRACTING</t>
  </si>
  <si>
    <t>MEN TELL</t>
  </si>
  <si>
    <t>ATM CAR CARE</t>
  </si>
  <si>
    <t>SAKETSINHA FOR DESIGN SERVICES</t>
  </si>
  <si>
    <t>STRONG TEA NEW WORK</t>
  </si>
  <si>
    <t>MASS ENERGIES</t>
  </si>
  <si>
    <t xml:space="preserve">AL KHAZAN AL DAHABIYA </t>
  </si>
  <si>
    <t>NGM SHEL CAR CARE</t>
  </si>
  <si>
    <t>AL WANASA</t>
  </si>
  <si>
    <t>MK FISH TRADING</t>
  </si>
  <si>
    <t>AGGREKO</t>
  </si>
  <si>
    <t>JANB AL SAHRA</t>
  </si>
  <si>
    <t>DRIVEN LOCK</t>
  </si>
  <si>
    <t>SMART ILC</t>
  </si>
  <si>
    <t>SO DIGITAL</t>
  </si>
  <si>
    <t>GREEN GROWING</t>
  </si>
  <si>
    <t>ABCONE</t>
  </si>
  <si>
    <t>NUBSI</t>
  </si>
  <si>
    <t>AKKARE FURNITURE</t>
  </si>
  <si>
    <t>BANO BULAVO</t>
  </si>
  <si>
    <t>BIG BANG</t>
  </si>
  <si>
    <t xml:space="preserve">NUMBER 30 </t>
  </si>
  <si>
    <t>BRIGHT ROSE</t>
  </si>
  <si>
    <t>CLEAR VIEW GLASS</t>
  </si>
  <si>
    <t>FREELANCE</t>
  </si>
  <si>
    <t>AL FANAR</t>
  </si>
  <si>
    <t>BAITH AL BADIA</t>
  </si>
  <si>
    <t>NAMAR</t>
  </si>
  <si>
    <t>PHONE GARAGE</t>
  </si>
  <si>
    <t>AL FARA</t>
  </si>
  <si>
    <t>A ONE BUILDERS</t>
  </si>
  <si>
    <t>JUST SHANAB</t>
  </si>
  <si>
    <t>GREEN LINE</t>
  </si>
  <si>
    <t>AL NUJUM</t>
  </si>
  <si>
    <t>NAJM AL SABHA</t>
  </si>
  <si>
    <t>ROYAL HONEY</t>
  </si>
  <si>
    <t>STYLISH LOOK</t>
  </si>
  <si>
    <t>SERTEX</t>
  </si>
  <si>
    <t>AKR EMPIRE TOYS</t>
  </si>
  <si>
    <t>GOOD FINIX CAFÉ</t>
  </si>
  <si>
    <t>SWIFT TRANSPORT</t>
  </si>
  <si>
    <t>AL ADEEL</t>
  </si>
  <si>
    <t>PRESTIGE WORLD</t>
  </si>
  <si>
    <t>ABURWASH</t>
  </si>
  <si>
    <t>HF BEAUTY CRTL WOMENS CARE</t>
  </si>
  <si>
    <t>AL ZAYAN CO</t>
  </si>
  <si>
    <t xml:space="preserve">NEW DETAILS </t>
  </si>
  <si>
    <t>CTRL WOMENS CARE</t>
  </si>
  <si>
    <t>FERROTECH</t>
  </si>
  <si>
    <t>LORD TAYERS</t>
  </si>
  <si>
    <t>SO FRESH</t>
  </si>
  <si>
    <t>AL BARKEH</t>
  </si>
  <si>
    <t>MYSA ART</t>
  </si>
  <si>
    <t>WADI RENTAL</t>
  </si>
  <si>
    <t>FREE WAY FOOD STUFF</t>
  </si>
  <si>
    <t>DLF BAQALA</t>
  </si>
  <si>
    <t>PREZIOSO</t>
  </si>
  <si>
    <t>AROUS AL SAHRA</t>
  </si>
  <si>
    <t xml:space="preserve">VEEPS GENERAL </t>
  </si>
  <si>
    <t>ADVO</t>
  </si>
  <si>
    <t>O2 ADVERTISE</t>
  </si>
  <si>
    <t>PROPERTY GUIDE</t>
  </si>
  <si>
    <t>TIME STAR</t>
  </si>
  <si>
    <t>AL ZARA</t>
  </si>
  <si>
    <t>COLOUR POINT</t>
  </si>
  <si>
    <t>SM CUNSOLANCY</t>
  </si>
  <si>
    <t>FIRST SPARK</t>
  </si>
  <si>
    <t>PUTO RICO</t>
  </si>
  <si>
    <t>FINTRUST</t>
  </si>
  <si>
    <t>FALCON PEAK</t>
  </si>
  <si>
    <t>LAND SHIP</t>
  </si>
  <si>
    <t>INTROYAL CURTAIN</t>
  </si>
  <si>
    <t>C MAX</t>
  </si>
  <si>
    <t>HOMADE DECORE</t>
  </si>
  <si>
    <t>ROSE PATTAL</t>
  </si>
  <si>
    <t>GRANDEX</t>
  </si>
  <si>
    <t>SPARK BAQALA</t>
  </si>
  <si>
    <t>SKY RISE</t>
  </si>
  <si>
    <t>BROS STRONG TEA</t>
  </si>
  <si>
    <t xml:space="preserve">MILMA </t>
  </si>
  <si>
    <t>ZARO SNAP</t>
  </si>
  <si>
    <t>DREAM ESCAPE</t>
  </si>
  <si>
    <t>STAR GRAPHICS</t>
  </si>
  <si>
    <t>AL FALAK</t>
  </si>
  <si>
    <t>NATURAL LEAN</t>
  </si>
  <si>
    <t>LANKAN ADMINISTRATIVE</t>
  </si>
  <si>
    <t>AUTO PROF</t>
  </si>
  <si>
    <t>SHIFA AL HAYATH</t>
  </si>
  <si>
    <t>GOLDEN NOUKA</t>
  </si>
  <si>
    <t>SUPER SAVER</t>
  </si>
  <si>
    <t>BURGER MASTER</t>
  </si>
  <si>
    <t>DETAILING</t>
  </si>
  <si>
    <t>CAKE BERRY</t>
  </si>
  <si>
    <t xml:space="preserve">EM SERANO </t>
  </si>
  <si>
    <t>FIT ZONE</t>
  </si>
  <si>
    <t xml:space="preserve">GULF SPORT </t>
  </si>
  <si>
    <t>LAYAN EMIRATES</t>
  </si>
  <si>
    <t>LARA PHARMACY</t>
  </si>
  <si>
    <t>DP MARK</t>
  </si>
  <si>
    <t>FAST AND SECURE</t>
  </si>
  <si>
    <t>COLOUR HUB</t>
  </si>
  <si>
    <t>DESERT TOURISM</t>
  </si>
  <si>
    <t>GOOD FINIX MOBILE</t>
  </si>
  <si>
    <t>YELLA FOODS</t>
  </si>
  <si>
    <t>NEW MOBILV</t>
  </si>
  <si>
    <t>HAROON ROASTRY</t>
  </si>
  <si>
    <t>SILVER STONE TURNING</t>
  </si>
  <si>
    <t>HARIS INTER NATIONAL</t>
  </si>
  <si>
    <t>AL RAHA</t>
  </si>
  <si>
    <t xml:space="preserve">SCENTIA </t>
  </si>
  <si>
    <t>MOTHER PROOF</t>
  </si>
  <si>
    <t>GRLIC GINGER</t>
  </si>
  <si>
    <t>FAV TECH</t>
  </si>
  <si>
    <t>GADGET ZONE</t>
  </si>
  <si>
    <t>BLUE STAR</t>
  </si>
  <si>
    <t>TREND CUTTERS</t>
  </si>
  <si>
    <t xml:space="preserve">STAR PLUS SALOON </t>
  </si>
  <si>
    <t>STAR GALAXY</t>
  </si>
  <si>
    <t>APSARA MART</t>
  </si>
  <si>
    <t>HANEEN LAUNDRY</t>
  </si>
  <si>
    <t>TOP</t>
  </si>
  <si>
    <t>alfastrongteabranch12@gmail.com</t>
  </si>
  <si>
    <t>ALFA STRONG TEA RESTAURANT - L.L.C - BRANCH</t>
  </si>
  <si>
    <t>Name</t>
  </si>
  <si>
    <t>Sl No</t>
  </si>
  <si>
    <t>Emirates ID</t>
  </si>
  <si>
    <t>Labour Expiry Date</t>
  </si>
  <si>
    <t>ID expiry Date</t>
  </si>
  <si>
    <t>Daman Expiry Date</t>
  </si>
  <si>
    <t>MARIA THERESA DE LUNA LEDESMA</t>
  </si>
  <si>
    <t>MARY ANN LORETO CATIBOG</t>
  </si>
  <si>
    <t>ALICIA VIKKAMOR ALEGRE</t>
  </si>
  <si>
    <t>IRENE MONDOZA ANARCON</t>
  </si>
  <si>
    <t>MICAH LARISMA MAGPANTAY</t>
  </si>
  <si>
    <t>DZHAMILIA KURTANOVA</t>
  </si>
  <si>
    <t>MACARIA BAHIA DELOS REYES</t>
  </si>
  <si>
    <t>MIGUEL RICARDO BANTIGUE SUAREZ</t>
  </si>
  <si>
    <t>RECHELLE VINUYA ESPENIDA</t>
  </si>
  <si>
    <t>ANNA ROCHELLE BAUTISTA FILLE</t>
  </si>
  <si>
    <t>ERNIELITO ESPERANZA ALAGER</t>
  </si>
  <si>
    <t>IRMA MACALLA LOZADA</t>
  </si>
  <si>
    <t>NOORMOHAMMED OTTITI HAMSA HAMSA OTTIRI</t>
  </si>
  <si>
    <t>KAREN TEJADA JORLUCAS</t>
  </si>
  <si>
    <t>MARY GRACE DE JESUS RAMIREZ</t>
  </si>
  <si>
    <t>BENJAMIN JR FRANGINAL COMA</t>
  </si>
  <si>
    <t>IVY CAMARIG</t>
  </si>
  <si>
    <t>WELINDA MANALO CANDELARIO</t>
  </si>
  <si>
    <t>MADINA RUZIMURATOVNA SHAPULATOVA</t>
  </si>
  <si>
    <t>LC CARD NO</t>
  </si>
  <si>
    <t>Company</t>
  </si>
  <si>
    <t>MARLON GUINTO GAPAY</t>
  </si>
  <si>
    <t>JENEVIE OFRANCIA MECADO</t>
  </si>
  <si>
    <t>SANTHOSHI RANA MAGAR</t>
  </si>
  <si>
    <t>ESAM ALY ABDUL</t>
  </si>
  <si>
    <t>JOVANE LABON ESPINO</t>
  </si>
  <si>
    <t>ANAS EYAD AHMAD NAZZAL</t>
  </si>
  <si>
    <t>DENNIS GLORIOSO LORENZO</t>
  </si>
  <si>
    <t>MARISSA PALISOC GOLETA</t>
  </si>
  <si>
    <t>RANDELL ESPENILLA BALGOS</t>
  </si>
  <si>
    <t>DANNA ROGEL CONDE</t>
  </si>
  <si>
    <t>AGNES QUIN SARGADO</t>
  </si>
  <si>
    <t>RACHEL BENEDICTO CRUZ</t>
  </si>
  <si>
    <t>CRESENIE YANDUG DELAYNON</t>
  </si>
  <si>
    <t>CATHERINE BAUTISTA RODRIGUEZ</t>
  </si>
  <si>
    <t>LINA SANTNADER YCO</t>
  </si>
  <si>
    <t>EMMANUEL TUMWESIGYE</t>
  </si>
  <si>
    <t>TRISTAN ZAPANTA MARIANO</t>
  </si>
  <si>
    <t>JOMEL AGUSTIN RABOSA</t>
  </si>
  <si>
    <t>MARILYN DONDIGO BAUTISTA</t>
  </si>
  <si>
    <t>RUTH ESPERIDA TEVES</t>
  </si>
  <si>
    <t>MARIEL SANTERO GAMBOA</t>
  </si>
  <si>
    <t>ANA MARIE BLAZA NAVARRO</t>
  </si>
  <si>
    <t>ROEL REYES EVANGELISTA</t>
  </si>
  <si>
    <t>DAM- EXP</t>
  </si>
  <si>
    <t>-</t>
  </si>
  <si>
    <t>AQEEL AHMED MUHAMMAD SIDDIQUE</t>
  </si>
  <si>
    <t>JUSTIN CANTA ESCALA</t>
  </si>
  <si>
    <t>MARK ANTHONY ARANDELA ACOSTA</t>
  </si>
  <si>
    <t>GINHAWA TALPLACIDO ACOSTA</t>
  </si>
  <si>
    <t>GOLDEN</t>
  </si>
  <si>
    <t>ERMAWATI BT CUCU SURYADI BASON</t>
  </si>
  <si>
    <t>DANISH IDREES MUHAMMAD IDREES QAZI</t>
  </si>
  <si>
    <t>ARIANE VILLAFLOR OCO</t>
  </si>
  <si>
    <t>NISAR HABIB MUHAMMAD SIDDIQUE ANJUM</t>
  </si>
  <si>
    <t>MAHMOUD ABDELNASER AHMED MOUSTAFA</t>
  </si>
  <si>
    <t>RAJU B K</t>
  </si>
  <si>
    <t>RAM BAHADUR BISWAKARMA</t>
  </si>
  <si>
    <t>PART TIME</t>
  </si>
  <si>
    <t>COMPANY CODE</t>
  </si>
  <si>
    <t>C-001</t>
  </si>
  <si>
    <t>C-002</t>
  </si>
  <si>
    <t>C-003</t>
  </si>
  <si>
    <t>C-004</t>
  </si>
  <si>
    <t>C-005</t>
  </si>
  <si>
    <t>C-006</t>
  </si>
  <si>
    <t>C-007</t>
  </si>
  <si>
    <t>C-008</t>
  </si>
  <si>
    <t>C-009</t>
  </si>
  <si>
    <t>C-010</t>
  </si>
  <si>
    <t>C-011</t>
  </si>
  <si>
    <t>C-012</t>
  </si>
  <si>
    <t>C-013</t>
  </si>
  <si>
    <t>C-014</t>
  </si>
  <si>
    <t>C-015</t>
  </si>
  <si>
    <t>C-016</t>
  </si>
  <si>
    <t>C-017</t>
  </si>
  <si>
    <t>C-018</t>
  </si>
  <si>
    <t>C-019</t>
  </si>
  <si>
    <t>C-020</t>
  </si>
  <si>
    <t>C-021</t>
  </si>
  <si>
    <t>C-022</t>
  </si>
  <si>
    <t>C-023</t>
  </si>
  <si>
    <t>C-024</t>
  </si>
  <si>
    <t>C-025</t>
  </si>
  <si>
    <t>C-026</t>
  </si>
  <si>
    <t>C-027</t>
  </si>
  <si>
    <t>C-028</t>
  </si>
  <si>
    <t>C-029</t>
  </si>
  <si>
    <t>C-030</t>
  </si>
  <si>
    <t>C-031</t>
  </si>
  <si>
    <t>C-032</t>
  </si>
  <si>
    <t>C-033</t>
  </si>
  <si>
    <t>C-034</t>
  </si>
  <si>
    <t>C-035</t>
  </si>
  <si>
    <t>C-036</t>
  </si>
  <si>
    <t>C-037</t>
  </si>
  <si>
    <t>C-038</t>
  </si>
  <si>
    <t>C-039</t>
  </si>
  <si>
    <t>C-040</t>
  </si>
  <si>
    <t>C-041</t>
  </si>
  <si>
    <t>C-042</t>
  </si>
  <si>
    <t>C-043</t>
  </si>
  <si>
    <t>C-044</t>
  </si>
  <si>
    <t>C-045</t>
  </si>
  <si>
    <t>C-046</t>
  </si>
  <si>
    <t>C-047</t>
  </si>
  <si>
    <t>C-048</t>
  </si>
  <si>
    <t>C-049</t>
  </si>
  <si>
    <t>C-050</t>
  </si>
  <si>
    <t>C-051</t>
  </si>
  <si>
    <t>C-052</t>
  </si>
  <si>
    <t>C-053</t>
  </si>
  <si>
    <t>C-054</t>
  </si>
  <si>
    <t>C-055</t>
  </si>
  <si>
    <t>C-056</t>
  </si>
  <si>
    <t>C-057</t>
  </si>
  <si>
    <t>C-058</t>
  </si>
  <si>
    <t>C-059</t>
  </si>
  <si>
    <t>C-060</t>
  </si>
  <si>
    <t>C-061</t>
  </si>
  <si>
    <t>C-062</t>
  </si>
  <si>
    <t>C-063</t>
  </si>
  <si>
    <t>C-064</t>
  </si>
  <si>
    <t>C-065</t>
  </si>
  <si>
    <t>C-066</t>
  </si>
  <si>
    <t>C-067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</si>
  <si>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</si>
  <si>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</si>
  <si>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</si>
  <si>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</si>
  <si>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</si>
  <si>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</si>
  <si>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</si>
  <si>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</si>
  <si>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C-076</t>
  </si>
  <si>
    <t>C-077</t>
  </si>
  <si>
    <t>C-078</t>
  </si>
  <si>
    <t>C-079</t>
  </si>
  <si>
    <t>C-080</t>
  </si>
  <si>
    <t>C-081</t>
  </si>
  <si>
    <t>C-082</t>
  </si>
  <si>
    <t>C-083</t>
  </si>
  <si>
    <t>C-084</t>
  </si>
  <si>
    <t>C-085</t>
  </si>
  <si>
    <t>C-086</t>
  </si>
  <si>
    <t>C-087</t>
  </si>
  <si>
    <t>C-088</t>
  </si>
  <si>
    <t>C-089</t>
  </si>
  <si>
    <t>C-090</t>
  </si>
  <si>
    <t>C-091</t>
  </si>
  <si>
    <t>C-092</t>
  </si>
  <si>
    <t>C-093</t>
  </si>
  <si>
    <t>C-094</t>
  </si>
  <si>
    <t>C-095</t>
  </si>
  <si>
    <t>C-096</t>
  </si>
  <si>
    <t>C-097</t>
  </si>
  <si>
    <t>C-098</t>
  </si>
  <si>
    <t>C-099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</si>
  <si>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</si>
  <si>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</si>
  <si>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</si>
  <si>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</si>
  <si>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</si>
  <si>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</si>
  <si>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</si>
  <si>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</si>
  <si>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</si>
  <si>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</si>
  <si>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</si>
  <si>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</si>
  <si>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</si>
  <si>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</si>
  <si>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</si>
  <si>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</si>
  <si>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</si>
  <si>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</si>
  <si>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</si>
  <si>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</si>
  <si>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</si>
  <si>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</si>
  <si>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</si>
  <si>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</si>
  <si>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</si>
  <si>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</si>
  <si>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</si>
  <si>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</si>
  <si>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</si>
  <si>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</si>
  <si>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</si>
  <si>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</si>
  <si>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</si>
  <si>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</si>
  <si>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</si>
  <si>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</si>
  <si>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</si>
  <si>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</si>
  <si>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</si>
  <si>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</si>
  <si>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</si>
  <si>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</si>
  <si>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</si>
  <si>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</si>
  <si>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</si>
  <si>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</si>
  <si>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</si>
  <si>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</si>
  <si>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</si>
  <si>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</si>
  <si>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</si>
  <si>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</si>
  <si>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</si>
  <si>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</si>
  <si>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</si>
  <si>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</si>
  <si>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</si>
  <si>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</si>
  <si>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</si>
  <si>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</si>
  <si>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</si>
  <si>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</si>
  <si>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</si>
  <si>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</si>
  <si>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</si>
  <si>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</si>
  <si>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</si>
  <si>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</si>
  <si>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</si>
  <si>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</si>
  <si>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</si>
  <si>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</si>
  <si>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</si>
  <si>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</si>
  <si>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</si>
  <si>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</si>
  <si>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</si>
  <si>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</si>
  <si>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</si>
  <si>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</si>
  <si>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</si>
  <si>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</si>
  <si>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</si>
  <si>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</si>
  <si>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</si>
  <si>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</si>
  <si>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</si>
  <si>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</si>
  <si>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</si>
  <si>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</si>
  <si>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</si>
  <si>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</si>
  <si>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</si>
  <si>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</si>
  <si>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</si>
  <si>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</si>
  <si>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</si>
  <si>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</si>
  <si>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</si>
  <si>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</si>
  <si>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</si>
  <si>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</si>
  <si>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</si>
  <si>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</si>
  <si>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</si>
  <si>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</si>
  <si>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</si>
  <si>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</si>
  <si>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</si>
  <si>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</si>
  <si>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</si>
  <si>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</si>
  <si>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</si>
  <si>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</si>
  <si>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</si>
  <si>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</si>
  <si>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</si>
  <si>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</si>
  <si>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</si>
  <si>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</si>
  <si>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</si>
  <si>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</si>
  <si>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</si>
  <si>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</si>
  <si>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</si>
  <si>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</si>
  <si>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</si>
  <si>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</si>
  <si>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</si>
  <si>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</si>
  <si>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</si>
  <si>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</si>
  <si>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</si>
  <si>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</si>
  <si>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</si>
  <si>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</si>
  <si>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</si>
  <si>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</si>
  <si>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</si>
  <si>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</si>
  <si>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</si>
  <si>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</si>
  <si>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</si>
  <si>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</si>
  <si>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</si>
  <si>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</si>
  <si>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</si>
  <si>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</si>
  <si>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</si>
  <si>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COMPANY NO</t>
  </si>
  <si>
    <t>HIDAYATH ULLAH SHAHID KHAN</t>
  </si>
  <si>
    <t>SAHIL BADHAN RAMESH KUMAR</t>
  </si>
  <si>
    <t>SANJAY KUMAR HARI NARAYAN</t>
  </si>
  <si>
    <t>GIREESHAN THAKE PURAYIL RAMUNNI RAYAROTH POOVANATH</t>
  </si>
  <si>
    <t>HARMAN SINGH BIKKAR SINGH</t>
  </si>
  <si>
    <t>MAGESH ALAKANDY MUKUNDAN ALAKKAT</t>
  </si>
  <si>
    <t>SUDHIL CHANDRASHEKHARA CHANDRASHEKHARA</t>
  </si>
  <si>
    <t>VIJESH KUNHI VEEDU JAYARAJAN CHALIL KANNOTH</t>
  </si>
  <si>
    <t>SAJAN NELLIAT RANDU PURAYIL DAMODARAN</t>
  </si>
  <si>
    <t>SYLISH THATTATHIL RATHNAKARAN</t>
  </si>
  <si>
    <t>RANJITH THIRUVANGADAN KRISHNAN THIRUVANGADAN</t>
  </si>
  <si>
    <t>RAGESH KANNDIPARA RAGHAVAN</t>
  </si>
  <si>
    <t>ABDUL JUNAID BELLIPADY MOHAMMED BELLIPPADI</t>
  </si>
  <si>
    <t xml:space="preserve">MUNEER ABDUL RAHIMAN BOVIKANAM BOVIKANAM </t>
  </si>
  <si>
    <t xml:space="preserve">AHAMAD AMRAZ KOLACHIYADUKKAM </t>
  </si>
  <si>
    <t>MOHAMMED FAYEZ ABDUL KHALID</t>
  </si>
  <si>
    <t>MOHAMMED SAFWAN USMAN USMAN</t>
  </si>
  <si>
    <t>SHAJAHAN MOHAMMED BELLIPPADI</t>
  </si>
  <si>
    <t>AFSAL MUHAMMED</t>
  </si>
  <si>
    <t xml:space="preserve">SHAMSUDEEN KALLARAKUZHI </t>
  </si>
  <si>
    <t>YOUSAFALI PALAKKATTUKUZHY</t>
  </si>
  <si>
    <t>RASHID VATTYAN ABOOBACKAR KEERAN</t>
  </si>
  <si>
    <t>SARATH PALLATH GOPI PALLATH</t>
  </si>
  <si>
    <t>ABDUL HASAN MOHAMED SAINULABDEEN</t>
  </si>
  <si>
    <t>ABDUSSALEEM MUKRIYAN SAIDALAVI</t>
  </si>
  <si>
    <t>AFEEPH CHEROOTHVALAPPIL MUHAMMED HANEEFA</t>
  </si>
  <si>
    <t>ASHRAF KOTTAKKARAN KOTTAKKARAN MOIDEEN</t>
  </si>
  <si>
    <t>NAWAB RIFNAS PALIYIL IBRAHIM PALIYIL</t>
  </si>
  <si>
    <t>SUHAIL MUKRANGADEN MOIDEENKUTTY</t>
  </si>
  <si>
    <t>SULFI AMEER VAVA RAWTHAR AMEER</t>
  </si>
  <si>
    <t>ABDUL RASHEED MANDAYAPPURAM KUNHAHAMED KUTTY</t>
  </si>
  <si>
    <t>MUHAMMED SAFUWAN KALATHINGAL UNNIMOYI</t>
  </si>
  <si>
    <t>SHAKKEENA ASHRAF ISMAIL</t>
  </si>
  <si>
    <t>FEROSHKHAN KUZHIKKAT MAMOOD</t>
  </si>
  <si>
    <t>MUHAMMED MAZOOD EDAVAN KATTIL</t>
  </si>
  <si>
    <t>MUNEER PALIYIL ABOOOBACKAR</t>
  </si>
  <si>
    <t>SABKHACAFETERIAAUHBR3@GMAIL.COM</t>
  </si>
  <si>
    <t>Sabkha@2024</t>
  </si>
  <si>
    <t>kattanscafellcbr1@gmail.com</t>
  </si>
  <si>
    <t>Kattans@23</t>
  </si>
  <si>
    <t>KATTANS CAFE L.L.C. - BRANCH</t>
  </si>
  <si>
    <t>15/01/2027</t>
  </si>
  <si>
    <t>28/03/2027</t>
  </si>
  <si>
    <t xml:space="preserve">MISHAB KODIYANTE PURAKKAL ASLAM </t>
  </si>
  <si>
    <t>MOHAMMED JASIL THITHEERATHINTE PARAKKAL</t>
  </si>
  <si>
    <t>AMIR HUSSAIN ABDUL MANIK</t>
  </si>
  <si>
    <t>KUBAD UDDIN FAZLUR RAHMAN</t>
  </si>
  <si>
    <t>RAJIB HUSSAIN SOFIQUE MIA</t>
  </si>
  <si>
    <t>MUHAMMED FARSHAD THACHARTHODI MOIDEEN THACHARATHODI</t>
  </si>
  <si>
    <t>DINESH KUMER SELVARAJ</t>
  </si>
  <si>
    <t>MUHAMMAD PERU VALLIKKARAKATH MUHAMMAD ASHRAF CHEEREN</t>
  </si>
  <si>
    <t>AJEESH KUMAR ALISAN SADASIVAN ALISAN</t>
  </si>
  <si>
    <t>FIJAS ANTHIKKAD FAIZAL</t>
  </si>
  <si>
    <t>MUHAMED MUBARAK NADUBILAPATTU KADER NADUBIILAPATTU</t>
  </si>
  <si>
    <t xml:space="preserve">ABDULATHEEF CHATHERI YAHUTTY CHATHERI </t>
  </si>
  <si>
    <t>VEERAMANI AYYAVU AYYAVU</t>
  </si>
  <si>
    <t>NIBIL ARAFAN ALAPPARA NAZAR ALLAPPARA</t>
  </si>
  <si>
    <t>IBRAHIM KUTTY ALAMBATH ASSAINAR KUNIYIL</t>
  </si>
  <si>
    <t>MUHAMMED CHEKKINTAKATH CHERIYA ABDULLA PUTHIYA PURAYIL</t>
  </si>
  <si>
    <t>SHIJY THUNDATHIL CHANDRASHEKARAN THUNDATHIL KRISHNANKUTTY</t>
  </si>
  <si>
    <t>ARMAN ALAM MD NAZIM</t>
  </si>
  <si>
    <t>SAJEER KONTHOTH YOUSEF PARAMBATH</t>
  </si>
  <si>
    <t>SHAMEER NARIYANCODE ABOOBACKAR NARIYANCODE</t>
  </si>
  <si>
    <t>MD DANIS ANSARI MD AZAZIL HAQUE</t>
  </si>
  <si>
    <t>MOHAMED THAHA KARAVANTHODI ABOOBACKER KARUVANTHODI</t>
  </si>
  <si>
    <t>ROYAL KATTAN KITCHEN -L.L.C BRANCH</t>
  </si>
  <si>
    <t>AJMAL CHOKKIDINTE PURAKKAL KUNHIMON CHOKKIDINTE PURAKKAL</t>
  </si>
  <si>
    <t>ABDUL NASAR KANNAMTHODI KAVANNA MOHAMMED BAPU</t>
  </si>
  <si>
    <t>AJITH KUMAR MUTHU MUTHU</t>
  </si>
  <si>
    <t>NASAR VANIYAN KANDY KUNHAMMED PUTHIYA PURAYIL</t>
  </si>
  <si>
    <t>KATTANS CAFÉ L.L.C</t>
  </si>
  <si>
    <t>MOHAMMED BOLAI MIA MOHAMMED LULU MIA</t>
  </si>
  <si>
    <t>SIDHIQUL AKBAR SAJAD BIN SAINUDEEN KZ</t>
  </si>
  <si>
    <t>SHIHAB PANDATH KUNHIMON THONI KKADAYIL</t>
  </si>
  <si>
    <t>MUHAMMED ASHARAF PUTHIYA PURAYIL THAZHEM ABDUL RAHIMAN</t>
  </si>
  <si>
    <t>MUHAMMAD POOKOTTU MEETHAL ABDURAHIMAN</t>
  </si>
  <si>
    <t>VISHNU UDAYAN UDAYAN KRISHNA PILLAI</t>
  </si>
  <si>
    <t>NISAMUDHEEN PARAMBIL ABOOBACKER PARAMBIL</t>
  </si>
  <si>
    <t>MUTHU RAJA PARAMASIVAM PARAMASIVAM</t>
  </si>
  <si>
    <t>RAJENDRA SINGH SHER SINGH</t>
  </si>
  <si>
    <t>SURESH SELVARAJ SELVAREJ</t>
  </si>
  <si>
    <t>BIKASH SARKAR SRIRUP SARKAR</t>
  </si>
  <si>
    <t>PREM BAHADUR BADH</t>
  </si>
  <si>
    <t>SHAMSU MUNDATHATON MAMMOOTTY NARON</t>
  </si>
  <si>
    <t>KUPPUSAMY THANGARAJ</t>
  </si>
  <si>
    <t>MUSTHAFA VATTKANDIYIL AMMAD</t>
  </si>
  <si>
    <t>MUHAMMAD FAROOK SEYDHULAPTHEEN</t>
  </si>
  <si>
    <t>HUSSAIN PUTHIYA PURAYIL SADULI NAROTH</t>
  </si>
  <si>
    <t>ABDUL RAHOOF VATTA PARAMBIL ABDUL RAZAQ VATTA PARAMBIL</t>
  </si>
  <si>
    <t>FAISAL VAZHACHAL ABDUL KADER THIKKODICHINTAVIDA</t>
  </si>
  <si>
    <t>IBRAHIM MOHAMMED KATTIL EBRAHIM MOHAMMED</t>
  </si>
  <si>
    <t>MANISEKARAN MAYALAGU</t>
  </si>
  <si>
    <t>MUHAMMED ASHRAF KUTTIPURAVAN MOIDU KUTTIPPURAVAN</t>
  </si>
  <si>
    <t>SABIR SEKH KUDDUS SEKH</t>
  </si>
  <si>
    <t>SHAMNAD SHALUDEEN</t>
  </si>
  <si>
    <t>PARTTIME</t>
  </si>
  <si>
    <t>SOUKATH ALI BALLOOR ABDULLAKUNHI ABDULLA KUNHI</t>
  </si>
  <si>
    <t>MUHAMMED MUSTHAFA CHENATHUKATTIL MUHAMMED</t>
  </si>
  <si>
    <t>MUHAMMED ANVARSHA SHAJAHAN SHAJAHAN MUHAMMED ISMAIL</t>
  </si>
  <si>
    <t>RASHID POOVATHINIKKAL MOIDEEN KUNHALI</t>
  </si>
  <si>
    <t>AYOOB PALLATH BAKUTTY PALLATH</t>
  </si>
  <si>
    <t>PART TIME PROVIDE</t>
  </si>
  <si>
    <t>MD ASRAF MD HABIB</t>
  </si>
  <si>
    <t>AKHIL ANTONY SEBASTIAN ANTONY</t>
  </si>
  <si>
    <t>SHABU MOHAMMED HANEEFA MOHAMMED HANEEFA</t>
  </si>
  <si>
    <t>MANWAR ALAM THAJEMUL ALAM</t>
  </si>
  <si>
    <t>FOUSIYA MOHAMMED KOYA FAISAL FAISAL MOHAMMED KOYA</t>
  </si>
  <si>
    <t>C-249</t>
  </si>
  <si>
    <t>ANANTHAKRISHNAN MOHANAN MOHANAN P</t>
  </si>
  <si>
    <t>ABDU SALAM MANNANTHARA KUNHEEN MANNANTHARA</t>
  </si>
  <si>
    <t>SUMESH CHAKKALAPPURATH SUBRAMANIAN CHAKKALAPPURATH</t>
  </si>
  <si>
    <t>SHAHAL NIYAS KATTAKATH SHAMSUDHEEN KATTAKATH</t>
  </si>
  <si>
    <t>BENSON BABU KOZHIKKAL ANTHAPPAN BABU</t>
  </si>
  <si>
    <t>BIPIN BABU BABU BHARATHA</t>
  </si>
  <si>
    <t>HABEEB RAHMAN THACHARAKUNNATH MUJEEB RAHIMAN MUJEEB</t>
  </si>
  <si>
    <t>SREEJITH SIVARAJAN SIVARAJAN</t>
  </si>
  <si>
    <t>JAMSHEER ALUNGAL SAIDALVI ALUNGAL</t>
  </si>
  <si>
    <t>SHANAVAS MULLATH PADATH MUHAMMAD MULLATH PADATH</t>
  </si>
  <si>
    <t>HUSBAND VISA</t>
  </si>
  <si>
    <t>MOHAMMED AMRAN AMINUR RAHMAN</t>
  </si>
  <si>
    <t>MOHAMMED AZAM MOHAMMED SHAFI</t>
  </si>
  <si>
    <t>ABU AHMED ARABER RAHMAN</t>
  </si>
  <si>
    <t>MOHAMMAD HASSAN MOHAMMAD SALIM</t>
  </si>
  <si>
    <t>MOHAMMAD SALIM ULLAH MOHAMMED ABDUL WAHAB</t>
  </si>
  <si>
    <t>MOHAMMED ABU TALEB ALI AHMED</t>
  </si>
  <si>
    <t>MOHAMMED HASAN NAYAN MOHAMMED MEAH</t>
  </si>
  <si>
    <t>MOSTAQ AMIN HYDER MD ALI HYDER</t>
  </si>
  <si>
    <t>RAFIQUL ALAM ABDUL SAMED</t>
  </si>
  <si>
    <t>TOWHIDUL ANWAR AMIN SHARIF</t>
  </si>
  <si>
    <t>MOHAMMED JAHEDUL ANWAR AMIN SHARUF</t>
  </si>
  <si>
    <t>MOHAMMED SHAJAHAN BADSHA MEAH</t>
  </si>
  <si>
    <t>CHATTAGRAM GENERAL TRANSPORT -L.L.C -S.PC</t>
  </si>
  <si>
    <t>ROYAL DELUXE GENERAL TRANSPORTING - L.L.C - S.P.C</t>
  </si>
  <si>
    <t>ABUD ULLAH RAHIM ZADA</t>
  </si>
  <si>
    <t>HASNAIN KHAN SABIR</t>
  </si>
  <si>
    <t>HIZMAT ULLAH KHAN SAID ULLAH KHAN</t>
  </si>
  <si>
    <t>IHSAN ULLAH FAIZULLAH KHAN</t>
  </si>
  <si>
    <t>RAHIM ZADA ZAR GUL</t>
  </si>
  <si>
    <t>SABIR JAMAL UD DIN JAMAL UD DIN</t>
  </si>
  <si>
    <t>SABIREEN JAMAL DIN</t>
  </si>
  <si>
    <t>SAMI ULLAH MUHAMMAD ISAM</t>
  </si>
  <si>
    <t>MIR BAZ KHAN SHAH MUHAMMAD KHAN</t>
  </si>
  <si>
    <t>MUHAMMAD ARSHAD ALAM SHAH</t>
  </si>
  <si>
    <t>MUHAMMAD ASIF MUHAMMAD AZAM</t>
  </si>
  <si>
    <t>MUHAMMAD SALEEM NAEEM KHAN</t>
  </si>
  <si>
    <t>NAJID JAMAL DIN</t>
  </si>
  <si>
    <t>SHANID JAMAL DIN</t>
  </si>
  <si>
    <t>SODAIS KHAN SHAH KAMIN KHAN</t>
  </si>
  <si>
    <t>ZAHEEN KHAN SHAIR ULLAH</t>
  </si>
  <si>
    <t>SAJID KHAN PAYO UDDIN</t>
  </si>
  <si>
    <t>CONSTANTINO JR ADARAYAN PILARTA</t>
  </si>
  <si>
    <t>NAVEED HUSSAIN MUGHAL MUHAMMAD HUSSAIN MUGHAL</t>
  </si>
  <si>
    <t>FARAZ KHAN SHAFIQ UR REHMAN</t>
  </si>
  <si>
    <t>ALI HAMZA MUHAMMAD AMEER</t>
  </si>
  <si>
    <t>MUHAMMAD AZHAR YOUSEF SHAIKH SHAIKH YOUSEF</t>
  </si>
  <si>
    <t>MUHAMMAD USMAN SHARIF MUHAMMAD SHARIF</t>
  </si>
  <si>
    <t>DHANANJAYAN KINATTIN KARA PUTHANVEETTIL GOVINDAN</t>
  </si>
  <si>
    <t>MOHAMMED SHAM VALAYIL MOHAMMED MUSTHAFA</t>
  </si>
  <si>
    <t>MOHAMED RAFI CHELLAPARAMBATH</t>
  </si>
  <si>
    <t>RAMESH MANGALATH VALAPPIL ANANTHA PADMANABHAN NAIR</t>
  </si>
  <si>
    <t>RIFA FRUITS AND VEGETABLES L.L.C- S.P.C</t>
  </si>
  <si>
    <t>NORTH DESIGN -L.L.C- O.P.C</t>
  </si>
  <si>
    <t>MARDAN MEDICAL CENTER S.P.C - L.L.C</t>
  </si>
  <si>
    <t>FARHAD IQBAL MUHAMMAD IQBAL</t>
  </si>
  <si>
    <t>HIDAYATH ULLAH KHALIL DOST MOHAMMAD</t>
  </si>
  <si>
    <t>SHAISTA SHARIF HAMMAD HUSSAIN</t>
  </si>
  <si>
    <t>MUHAMMAD TARIQ KHAN MUHAMMAD RAQIB KHAN</t>
  </si>
  <si>
    <t>BINI BABY</t>
  </si>
  <si>
    <t>MUHAMMAD ABBAS REHMAT ALI</t>
  </si>
  <si>
    <t>ELGY SUNNY SUNNY MUKALATHU MATHAI</t>
  </si>
  <si>
    <t>MUHAMMAD QASIM ABDUL GHAFOOR</t>
  </si>
  <si>
    <t>NAEEM KHALIFQ MUHAMMAD KHALIQ</t>
  </si>
  <si>
    <t>GOLDEN VISA</t>
  </si>
  <si>
    <t>IZWA FRUITS AND VEGETABLES.L.L.C - O.P.C</t>
  </si>
  <si>
    <t>UMARUL FAROOK CHERAMADATH AMMAD HAJI CHERAMADATH</t>
  </si>
  <si>
    <t>DILSHAD AMEER AMEER</t>
  </si>
  <si>
    <t>ABDUL RAHIMAN ANGADIYIL ABBAS ANGADIYIL</t>
  </si>
  <si>
    <t>MUHAMMED MUBARAK BASHEER PULLUMALA</t>
  </si>
  <si>
    <t>NIZAMUDHEEN ANAYAM KADAVATH HAMZA</t>
  </si>
  <si>
    <t>SHAHUL HAMEED KOORIYIL HAMZA</t>
  </si>
  <si>
    <t>SURAIF PATHOOR HUSSAIN HAJI</t>
  </si>
  <si>
    <t>NOOR AL SHIFA PHARMACY</t>
  </si>
  <si>
    <t>FAZAL SALIM FAZAL NAEEM</t>
  </si>
  <si>
    <t>MUHAMMAD SHAKEEL ASGHAR SHAH</t>
  </si>
  <si>
    <t>JAVED IQBAL MUHAMMAD AFZAL KHAN</t>
  </si>
  <si>
    <t>Sl.No</t>
  </si>
  <si>
    <t>Company Code</t>
  </si>
  <si>
    <t xml:space="preserve">MUHAMMED SHARIEF MANDAYAPURAM KUNHI MOHAMMED </t>
  </si>
  <si>
    <t>UMMER CHATTIANVEEDE UNNIMOYI</t>
  </si>
  <si>
    <t>FAIZAL KUNNAKATT KUNHIMOHAMED KUNNAKKATT</t>
  </si>
  <si>
    <t>MUHAMMED SAFWAN ARABI ABDULLA KUTTY</t>
  </si>
  <si>
    <t>MUHAMMED SINAN PALIYIL MUHAMMED ALI</t>
  </si>
  <si>
    <t>SAMEER PALIYIL ABOOBACKER</t>
  </si>
  <si>
    <t>ABDUL VAHID POILIL UMMER</t>
  </si>
  <si>
    <t>MOHAMED SHAFI PARAMBERI KUNHAHAMMED</t>
  </si>
  <si>
    <t>MUHAMMAD JASIM LAL WAZIR</t>
  </si>
  <si>
    <t>HAKEEM ULLAH MANZOOR HUSSAIN</t>
  </si>
  <si>
    <t>MUHAMMAD SANWAL ABDUL REHMAN</t>
  </si>
  <si>
    <t>MUHAMMAD ISHAQ MUHAMMAD ISMAIL</t>
  </si>
  <si>
    <t>MUHAMMAD YAQOOB ABDUL RAHMAN</t>
  </si>
  <si>
    <t>MUHAMMAD NASIR MUHAMMAD FAROOQ</t>
  </si>
  <si>
    <t>MUHAMMAD MUNIR MUHAMMAD ISMAIL</t>
  </si>
  <si>
    <t>SKILLSAFE TRAINING AND INSPECTION SERVICES -L.L.C - O.PC</t>
  </si>
  <si>
    <t>MUHAMMAD MUDASSIR NAWAZ MUHAMMAD NAWAZ</t>
  </si>
  <si>
    <t>SAHAT NAWAZ GULAB NAWAZ</t>
  </si>
  <si>
    <t>MUHAMMAD ASAD REHMAN MUHAMMAD NAWAZ</t>
  </si>
  <si>
    <t>HASEEB AHMAD MUHAMMAD SALEEM</t>
  </si>
  <si>
    <t>ABHINAV SURENDRAN PILAKKAL KANDIKKAL</t>
  </si>
  <si>
    <t>MOHAMMAED ARSHAD RAFI MUHAMMED RAFI</t>
  </si>
  <si>
    <t>ROMY GEORGE KALARICKAL MARKOSE</t>
  </si>
  <si>
    <t>DIBINROY O ROY</t>
  </si>
  <si>
    <t>ANU SHARMA SHIV KUMAR SHARMA</t>
  </si>
  <si>
    <t>JALEES UL HASSAN RIAZ AKHTAR</t>
  </si>
  <si>
    <t>IQRA IQBAL MUHAMMAD IQBAL</t>
  </si>
  <si>
    <t>SARA MUSTAFA MUHAMMAD MUDASSIR NAWAZ</t>
  </si>
  <si>
    <t>DIYA JOSE JOSE MATHEW</t>
  </si>
  <si>
    <t>NUDRAT NAWAZ FAISAL IQBAL</t>
  </si>
  <si>
    <t>MUHAMMAD FARHAN MUMTAZ MUHAMMAD MUMTAZ</t>
  </si>
  <si>
    <t>XOFOZ  INFORMATION TECHNOLOGY -L.L.C. SPC</t>
  </si>
  <si>
    <t>MOHAMED UZMAN MOHAMED NAZEEM HASSAN</t>
  </si>
  <si>
    <t>SHAFEEQ PATHAYATODI HAMZA PATHAYATHODI</t>
  </si>
  <si>
    <t>INDIKA KUMARA PERERA KATUNAYAKAGE</t>
  </si>
  <si>
    <t>MOHAMMAD KUNHI SAMEER PERLA HUSSAIN</t>
  </si>
  <si>
    <t>TRISHAN SAJITH KUMARA KOSGALLANA DURAGE</t>
  </si>
  <si>
    <t>AKHIL ARIYERI DINESHAN PALAKKEEL</t>
  </si>
  <si>
    <t>VIPIN VINOD VINOD THUNDAPARMBIL BALAN</t>
  </si>
  <si>
    <t>FATHIMA FARSANA VETTIKKATTUPARAMBU SIYAD</t>
  </si>
  <si>
    <t>DILNA THAYALE VEETTIL PANKAJAKSHAN THAYALE VEETTIL</t>
  </si>
  <si>
    <t>ARUN KORATTIKKATTIL PARAMESHWARAN</t>
  </si>
  <si>
    <t>BIJOY AREKKATTIL PREMNANDAN PREMANANDAN</t>
  </si>
  <si>
    <t>SIJO KALLARAKKAL GABRIYEL GABRIYEL</t>
  </si>
  <si>
    <t>HARINDRA NATHAN CHALIL</t>
  </si>
  <si>
    <t>AJITH AREKKATTIL AMBUJAKSHAN</t>
  </si>
  <si>
    <t>PRASHOBH VENNARATHIL SASEENDRAN SASEENDRA</t>
  </si>
  <si>
    <t>AHMAD ZAMIR ULAS MIR</t>
  </si>
  <si>
    <t>MUHAMMAD SHAFIQ SARWAR JAN</t>
  </si>
  <si>
    <t>MUHAMMAD SHAKIL ASGHAR</t>
  </si>
  <si>
    <t>NASEEBULLAH GULAB KHAN</t>
  </si>
  <si>
    <t>MUNAWAR KHAN WAZIR SHAH</t>
  </si>
  <si>
    <t>SALIM ASGHAR KHAN ASGHAR</t>
  </si>
  <si>
    <t>AJIFAL KANNANAYAKKAL ABU KANNANAYAKKAL</t>
  </si>
  <si>
    <t>RAOOF AKKUL MEETHAL ABDULLA HAJEE</t>
  </si>
  <si>
    <t>FASILUDEEN THAHA KHAN FASILUDEEN</t>
  </si>
  <si>
    <t xml:space="preserve">MOHAMMED FAROOK AMBALAVAN HUSSAIN HUSSAIN </t>
  </si>
  <si>
    <t>AMEERALI THAYYIL POTHINARAKKAL</t>
  </si>
  <si>
    <t>ISHAQUE THAYYIL HASSANKUTTY THAYYIL</t>
  </si>
  <si>
    <t>JAFAR CHERIPURATH</t>
  </si>
  <si>
    <t>ABDUL JIHAD KOZHINJU PALLIYALIL HUSSAINU KOZHINJU</t>
  </si>
  <si>
    <t>ABDUL SALEEM VELTHODA THAYAL</t>
  </si>
  <si>
    <t>ALI HASSAN PUTHUKKUDY PUTHUKKUDY MOHAMMED</t>
  </si>
  <si>
    <t>MUSTHAFA ABDUL WAHAB KULANGARAVEEETTIL</t>
  </si>
  <si>
    <t>NASHEETH KANHIRANGADAN ABOOBAKER KANHIRANGADAN</t>
  </si>
  <si>
    <t>SUBAIR KARAKKAL UMMER KOYA</t>
  </si>
  <si>
    <t>RASHID VALIYAKATH SHAMSUDHEEN</t>
  </si>
  <si>
    <t>ABDUL HAKKIM BIKKIRI ABDUL KHADER KUNDILE PURAYIL</t>
  </si>
  <si>
    <t>CECILIA SAMAR TALABIS</t>
  </si>
  <si>
    <t>MERCYLINA REMOLETE OLA</t>
  </si>
  <si>
    <t>VELENTINA EHEM CAPITLE</t>
  </si>
  <si>
    <t>PRESCILA GARAY MORALES</t>
  </si>
  <si>
    <t>MOSES REFIL ANGON</t>
  </si>
  <si>
    <t>FASIL KARUTHEDATH ABDUL KHADER KARUTHEDATH</t>
  </si>
  <si>
    <t>SUNEER MARAKKANDKADAVU PARAMBA KOYATTY MARAKKANKADAVU PARAMBA</t>
  </si>
  <si>
    <t>SAJID ABOOBAKER ABOOBAKER</t>
  </si>
  <si>
    <t>NOUFAL NOUSHAD NOUSHAD</t>
  </si>
  <si>
    <t>SHAMNAD ABOOTHALID ABOOTHALIB MUHAMEEDKUNJU</t>
  </si>
  <si>
    <t>NABEEL JAWEED AKHTAR</t>
  </si>
  <si>
    <t>SURAJ KARKI</t>
  </si>
  <si>
    <t>WAQAS ISHAQ ISHAQ ROY</t>
  </si>
  <si>
    <t>ABESHAKE BABAR</t>
  </si>
  <si>
    <t>ROHAIL JAWEED AKHTAR</t>
  </si>
  <si>
    <t>DATA BOOKKEEPING AND ACCOUNTING SERVICES</t>
  </si>
  <si>
    <t>ANI DANIEL DANIEL V</t>
  </si>
  <si>
    <t>JOSY JOSE JOSE VARKEY</t>
  </si>
  <si>
    <t>RAJESWARIMOL KARINGATTUVELI NADARAJAN</t>
  </si>
  <si>
    <t>KIRAT GENERAL TRANSPORT-L.L.C</t>
  </si>
  <si>
    <t>BACHITAR SINGH AVTAR SINGH</t>
  </si>
  <si>
    <t>BIKRAMDEEP SINGH JAGBIR SINGH</t>
  </si>
  <si>
    <t>GOURAV SHARMA AJAY KUMAR</t>
  </si>
  <si>
    <t>GURWINDER SINGH JARMAN SINGH</t>
  </si>
  <si>
    <t>HARPREET SINGH SARWAN SINGH</t>
  </si>
  <si>
    <t>JASKARAN SINGH JAGTAR SINGH</t>
  </si>
  <si>
    <t>LOVEPREET SINGH AVTAR SINGH</t>
  </si>
  <si>
    <t>LOVEPREET SINGH BALVIR SINGH</t>
  </si>
  <si>
    <t>MAHBUB NABAB</t>
  </si>
  <si>
    <t xml:space="preserve">MANDEEP KUMAR ANIL KUMAR </t>
  </si>
  <si>
    <t>ONKAR SINGH GURVINDER SINGH</t>
  </si>
  <si>
    <t>SUMIT KUMAR RAJIV KUMAR</t>
  </si>
  <si>
    <t>VICKY PARMODH KUMAR</t>
  </si>
  <si>
    <t>VIJAYPAL SINGH NARINDER SINGH</t>
  </si>
  <si>
    <t>BALJINDER SINGH HARDIAL SINGH</t>
  </si>
  <si>
    <t>KULBIR SINGH MANDEEP SINGH</t>
  </si>
  <si>
    <t>GAGANDEEP SINGH RAJINDER SINGH</t>
  </si>
  <si>
    <t>HARPREET SINGH JAGTAR SINGH</t>
  </si>
  <si>
    <t>INDEX</t>
  </si>
  <si>
    <t>DATTA BUKHARI</t>
  </si>
  <si>
    <t>DES WAV CLEANING</t>
  </si>
  <si>
    <t>DES WAV BROKER</t>
  </si>
  <si>
    <t>DATTA TRADING</t>
  </si>
  <si>
    <t xml:space="preserve">DATTA </t>
  </si>
  <si>
    <t>FASTE AVENUE TRANSPORT - S.P.C-L.L.C</t>
  </si>
  <si>
    <t>DALJEET SINGH SUCHA SINGH</t>
  </si>
  <si>
    <t>IBRAHIM KHAN ZARBAT KHAN</t>
  </si>
  <si>
    <t>MOHAMED ISMAIL SAHABUDEEN SAHABUDEEN</t>
  </si>
  <si>
    <t>MUHAMMED IRSHAD PUNNAKKAL PUTHIYAPURAYIL</t>
  </si>
  <si>
    <t>SHAHAD THOLICHI KANDATH UMMER PAROL</t>
  </si>
  <si>
    <t>GULOOM AFZAL AFZAL NAIKEN PUTHIYA PURAYIL</t>
  </si>
  <si>
    <t>MID NIGHT SAFARI AND TOURS</t>
  </si>
  <si>
    <t>HUMAYUN SHEIKH SULTAN SHEIKH</t>
  </si>
  <si>
    <t>ASUMA BEEVI SALEEM ABBAS</t>
  </si>
  <si>
    <t>MUHAMMAD ARIF ALI AHMED ALI</t>
  </si>
  <si>
    <t>THULASEEDHARAN SASIDHARAN SASIDHARAN B</t>
  </si>
  <si>
    <t>MOHAMEDSADIQ PUTHANPEEDIKKAL ASSANAR ASSANAR</t>
  </si>
  <si>
    <t>SANJU KUDUKKAKUNNEL KUTTAPPAN</t>
  </si>
  <si>
    <t>POPULAR CHARCOAL TRADING</t>
  </si>
  <si>
    <t>SHAFEER NADAKKAVIL ABDURAZAK NADAKKAVIL</t>
  </si>
  <si>
    <t>MUJEEB NADAKKAVIL HMAZA NADAKKAVIL</t>
  </si>
  <si>
    <t>ABDURAZAK NADAKKAVIL MOHAMED KUTTY</t>
  </si>
  <si>
    <t>AL NAJOUM EGG TRADING</t>
  </si>
  <si>
    <t>MOHAMMED JASEEM KANNIMEL PALANCHERI MOIDUTTY KANNIMEL PALANCHEERI</t>
  </si>
  <si>
    <t>MUHAMMED ASHFAK MUTHUVALOOR ABDUL AZEEZ MUTHUVALOOR</t>
  </si>
  <si>
    <t>ARSHAD VELLIKKADAN MUSTHAFA VELLIKKADAN</t>
  </si>
  <si>
    <t>MUHAMED FAIS ABDUL AZEEZ</t>
  </si>
  <si>
    <t>MUHAMMED SHEHEEM VELIYAKATH MUHAMMED VALIYAKATH</t>
  </si>
  <si>
    <t>SHAMEEM MELEDATH VALAPPIL KHALID MELEDATH VALAPPIL</t>
  </si>
  <si>
    <t xml:space="preserve">MUHAMMED AMEER MUTHUVALLOOR CHUNDAMANNIL </t>
  </si>
  <si>
    <t>SIFAS MELEDATH KHALID KHALID</t>
  </si>
  <si>
    <t>MOHAMMED SINAN VAKKAYIL SIDHEEQUE VAKKAYIL</t>
  </si>
  <si>
    <t>ASHRAF PULISSERY MOHAMED PULISSERY</t>
  </si>
  <si>
    <t>SHALU MARIYA THANKCAHAN ATTANGATTIL MATHEW</t>
  </si>
  <si>
    <t>AMMU MANILAL MANILAL VALIYAPURACKAL NARAYANAN</t>
  </si>
  <si>
    <t>HANNA KASIM VELLA CHALIL KASIM</t>
  </si>
  <si>
    <t>SAREENA KUNNANCHERY KUNNANCHERY</t>
  </si>
  <si>
    <t>ALI KUNDIL RAHMAN KUNDIL</t>
  </si>
  <si>
    <t>CENTURY EXPRESS FREIGHT SERVICE L.L.C</t>
  </si>
  <si>
    <t>C-250</t>
  </si>
  <si>
    <t>SHAJI KAKKUZHIYIL MOHAMED KUTTY K</t>
  </si>
  <si>
    <t>MUHAMMED RIZWAN CHERAKKADATH BASHEEER CHERAKKADATH</t>
  </si>
  <si>
    <t>SHUKRI HASSAN PARAYIL ABDULRAHIMAN HAJI</t>
  </si>
  <si>
    <t>SALEEM PARIYATH KUNHIKAMMU PARIYARATH</t>
  </si>
  <si>
    <t>MOHAMED HARIZ VELLARIKANDATHIL</t>
  </si>
  <si>
    <t>CENTURY EXPRESS FREIGHT SERVICE L.L.C- BRANCH</t>
  </si>
  <si>
    <t>C-251</t>
  </si>
  <si>
    <t xml:space="preserve">SHAMIL ASHRAF MOIDEENKANAKATH MOHAMED ASHRAF </t>
  </si>
  <si>
    <t>SHALU ISMAIL THARAMMAL SABIR THARAMMAL</t>
  </si>
  <si>
    <t>SABIRA MOIDEENKANAKATH ABOOBACKER MOIDEENKANAKATH</t>
  </si>
  <si>
    <t>JAYSONE ADE</t>
  </si>
  <si>
    <t>SHYAM KUMAR PARIYAR</t>
  </si>
  <si>
    <t>TRISTAN JOHN BATILANO</t>
  </si>
  <si>
    <t>ALAM MOHAMMED JANJIRKAR MOHAMMED JANJIRKAR</t>
  </si>
  <si>
    <t>GREEN CORNER CAFETERIA SPC L L C</t>
  </si>
  <si>
    <t>MUHAMMAD NABEEL MUHAMMAD SADDIQUE</t>
  </si>
  <si>
    <t>MUHAMMED NOUFAL KUNDANI ALI KUNDANI</t>
  </si>
  <si>
    <t>MOHAMMED SHIBILI KUMMALIL KUTTIKATTIL</t>
  </si>
  <si>
    <t>SADIQUE PARA KKOTT MOIDEEN KOYA</t>
  </si>
  <si>
    <t>THAMOTHRAN GANESHMOORTHY GANESHMOORTHY</t>
  </si>
  <si>
    <t xml:space="preserve">MOHAMED SUFAIL PARAKKATTIL SULAIMAN </t>
  </si>
  <si>
    <t>HANEEFA PALARIKUNDIL SAITHALI</t>
  </si>
  <si>
    <t>JAHFAR PARATHODI ABOOBACKER PARATHODI</t>
  </si>
  <si>
    <t>MOHAMMED SADHIQ THARAMMAL ABDUL AZEEZ</t>
  </si>
  <si>
    <t>ISMAIL THATTANTHODIYIL MAMMU</t>
  </si>
  <si>
    <t xml:space="preserve">RIYAS PARATHODI MUHAMMED </t>
  </si>
  <si>
    <t>SANS CHIRAMAL JOSE</t>
  </si>
  <si>
    <t>REM BAHADUR RASKOTI</t>
  </si>
  <si>
    <t>COMPANY NAME</t>
  </si>
  <si>
    <t>SL.No</t>
  </si>
  <si>
    <t>Representitive Name</t>
  </si>
  <si>
    <t>Contact No</t>
  </si>
  <si>
    <t>Al Bakht Curtain</t>
  </si>
  <si>
    <t>Shaad</t>
  </si>
  <si>
    <t>NOOR AL HUDA TYPING &amp; PHOTOCOPYING SERVICES</t>
  </si>
  <si>
    <t>HUSBAND</t>
  </si>
  <si>
    <t>FAHMA THAYYIL PURA MUHAMMED KUNHI MANAKKAT THEKKE</t>
  </si>
  <si>
    <t>SARATH MOHAN MOHANAN PILLAI</t>
  </si>
  <si>
    <t>MURSHIDA ORAVANKUNDIL MOHAMMED KUTTY</t>
  </si>
  <si>
    <t>PART-TIME</t>
  </si>
  <si>
    <t>C-252</t>
  </si>
  <si>
    <t>LINEAR OPTICS SOLE PROPRIETORSHIP L.L.C</t>
  </si>
  <si>
    <t>MIDHUNRAJ RAJAGOPAL LEENA RAJAGOPALAN VOTTOM VEETTIL</t>
  </si>
  <si>
    <t>C-253</t>
  </si>
  <si>
    <t>PRAVEENA POYILIYIL VISWANATHAN VISWANATHAN POYILIYIL</t>
  </si>
  <si>
    <t>RANJITH RAVEENDRAN RAVEENDRAN KARUVAN CHELLAPPAN</t>
  </si>
  <si>
    <t>SABIR C-O</t>
  </si>
  <si>
    <t>Column1</t>
  </si>
  <si>
    <t>Column2</t>
  </si>
  <si>
    <t>No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</si>
</sst>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58666E"/>
      <name val="Arial"/>
      <family val="2"/>
    </font>
    <font>
      <sz val="11"/>
      <color rgb="FF9C0006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 tint="-0.34998626667073579"/>
      <name val="Arial"/>
      <family val="2"/>
    </font>
    <font>
      <sz val="11"/>
      <color theme="0" tint="-0.249977111117893"/>
      <name val="Arial"/>
      <family val="2"/>
    </font>
    <font>
      <sz val="11"/>
      <color theme="0" tint="-0.1499984740745262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/>
    </xf>
    <xf numFmtId="0" fontId="1" fillId="0" borderId="1" xfId="1" applyBorder="1"/>
    <xf numFmtId="0" fontId="5" fillId="0" borderId="1" xfId="0" applyFont="1" applyBorder="1"/>
    <xf numFmtId="0" fontId="5" fillId="0" borderId="1" xfId="0" applyFont="1" applyBorder="1" applyAlignment="1">
      <alignment horizontal="left" vertical="top"/>
    </xf>
    <xf numFmtId="16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top" wrapText="1"/>
    </xf>
    <xf numFmtId="0" fontId="6" fillId="0" borderId="1" xfId="1" applyFont="1" applyBorder="1"/>
    <xf numFmtId="164" fontId="5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8" fillId="0" borderId="1" xfId="0" applyFont="1" applyBorder="1"/>
    <xf numFmtId="16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left" vertical="top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left" vertical="top"/>
    </xf>
    <xf numFmtId="0" fontId="5" fillId="0" borderId="1" xfId="0" applyFont="1" applyFill="1" applyBorder="1"/>
    <xf numFmtId="16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10" fillId="0" borderId="1" xfId="0" applyFont="1" applyBorder="1"/>
    <xf numFmtId="164" fontId="0" fillId="0" borderId="0" xfId="0" applyNumberFormat="1"/>
    <xf numFmtId="16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left" vertical="top"/>
    </xf>
    <xf numFmtId="164" fontId="10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Border="1"/>
    <xf numFmtId="165" fontId="0" fillId="0" borderId="0" xfId="0" applyNumberFormat="1" applyBorder="1"/>
    <xf numFmtId="0" fontId="0" fillId="0" borderId="0" xfId="0" applyBorder="1" applyAlignment="1"/>
    <xf numFmtId="164" fontId="0" fillId="0" borderId="0" xfId="0" applyNumberFormat="1" applyBorder="1"/>
    <xf numFmtId="0" fontId="0" fillId="0" borderId="0" xfId="0" applyFill="1" applyBorder="1"/>
    <xf numFmtId="0" fontId="5" fillId="0" borderId="2" xfId="0" applyFont="1" applyFill="1" applyBorder="1"/>
    <xf numFmtId="0" fontId="5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Fill="1" applyBorder="1" applyAlignment="1">
      <alignment horizontal="center" vertical="center"/>
    </xf>
    <xf numFmtId="165" fontId="0" fillId="0" borderId="0" xfId="0" applyNumberFormat="1" applyBorder="1" applyAlignment="1">
      <alignment horizontal="right"/>
    </xf>
    <xf numFmtId="1" fontId="12" fillId="0" borderId="0" xfId="0" applyNumberFormat="1" applyFont="1" applyAlignment="1">
      <alignment horizontal="right"/>
    </xf>
    <xf numFmtId="1" fontId="12" fillId="0" borderId="0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0" fontId="5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Font="1" applyBorder="1" applyAlignment="1">
      <alignment horizontal="right"/>
    </xf>
    <xf numFmtId="1" fontId="12" fillId="0" borderId="0" xfId="0" applyNumberFormat="1" applyFont="1" applyBorder="1" applyAlignment="1">
      <alignment horizontal="right" vertical="center" wrapText="1"/>
    </xf>
    <xf numFmtId="1" fontId="12" fillId="0" borderId="0" xfId="0" applyNumberFormat="1" applyFont="1" applyBorder="1" applyAlignment="1">
      <alignment horizontal="center" vertical="center"/>
    </xf>
    <xf numFmtId="165" fontId="0" fillId="0" borderId="0" xfId="0" applyNumberFormat="1" applyBorder="1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3" xfId="0" applyBorder="1"/>
    <xf numFmtId="165" fontId="0" fillId="0" borderId="3" xfId="0" applyNumberFormat="1" applyBorder="1"/>
    <xf numFmtId="0" fontId="0" fillId="0" borderId="0" xfId="0" applyFill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14" fontId="3" fillId="0" borderId="0" xfId="0" applyNumberFormat="1" applyFont="1" applyBorder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165" fontId="11" fillId="0" borderId="0" xfId="0" applyNumberFormat="1" applyFont="1" applyBorder="1"/>
    <xf numFmtId="0" fontId="0" fillId="0" borderId="0" xfId="0" applyBorder="1" applyAlignment="1">
      <alignment horizontal="left" wrapText="1"/>
    </xf>
    <xf numFmtId="0" fontId="13" fillId="3" borderId="0" xfId="2" applyFont="1" applyFill="1" applyBorder="1" applyAlignment="1">
      <alignment horizontal="center" wrapText="1"/>
    </xf>
    <xf numFmtId="1" fontId="13" fillId="3" borderId="0" xfId="2" applyNumberFormat="1" applyFont="1" applyFill="1" applyBorder="1" applyAlignment="1">
      <alignment horizontal="right" wrapText="1"/>
    </xf>
    <xf numFmtId="0" fontId="13" fillId="3" borderId="0" xfId="2" applyFont="1" applyFill="1" applyBorder="1" applyAlignment="1">
      <alignment wrapText="1"/>
    </xf>
    <xf numFmtId="165" fontId="13" fillId="3" borderId="0" xfId="2" applyNumberFormat="1" applyFont="1" applyFill="1" applyBorder="1" applyAlignment="1">
      <alignment horizontal="right" wrapText="1"/>
    </xf>
    <xf numFmtId="0" fontId="0" fillId="0" borderId="0" xfId="0" applyFill="1" applyBorder="1" applyAlignment="1">
      <alignment horizontal="left" vertical="top"/>
    </xf>
  </cellXfs>
  <cellStyles count="3">
    <cellStyle name="Bad" xfId="2" builtinId="27"/>
    <cellStyle name="Hyperlink" xfId="1" builtinId="8"/>
    <cellStyle name="Normal" xfId="0" builtinId="0"/>
  </cellStyles>
  <dxfs count="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[$-409]d\-mmm\-yy;@"/>
      <alignment horizontal="right" vertical="bottom" textRotation="0" wrapText="0" indent="0" justifyLastLine="0" shrinkToFit="0" readingOrder="0"/>
    </dxf>
    <dxf>
      <numFmt numFmtId="164" formatCode="[$-409]dd\-mmm\-yy;@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C49F34-C8B6-4D08-9D50-5DD6165B2FA6}" name="Table2" displayName="Table2" ref="A1:K392" totalsRowShown="0" headerRowDxfId="8">
  <autoFilter ref="A1:K392" xr:uid="{F2E3CC88-412E-4D73-BC0B-CF260950847C}">
    <filterColumn colId="2">
      <filters>
        <filter val="NEELAS LADIES BEAUTY SALOON - L.L.C - O.P.C"/>
      </filters>
    </filterColumn>
  </autoFilter>
  <tableColumns count="11">
    <tableColumn id="1" xr3:uid="{84A6654F-EE53-422A-B24E-4E5333613274}" name="Sl No" dataDxfId="7"/>
    <tableColumn id="2" xr3:uid="{990C949D-EBC6-45EA-8A17-AD6922CF654C}" name="COMPANY NO" dataDxfId="6"/>
    <tableColumn id="3" xr3:uid="{3C62BE1E-A402-4093-8F3C-2689941EF456}" name="COMPANY NAME" dataDxfId="5"/>
    <tableColumn id="4" xr3:uid="{EFB1EB62-4986-476E-A39D-55044EE8166D}" name="Emirates ID" dataDxfId="4"/>
    <tableColumn id="5" xr3:uid="{6360F5A9-D83A-4513-AB62-EBE2ED45E02D}" name="Name" dataDxfId="3"/>
    <tableColumn id="6" xr3:uid="{BA10A161-37A3-42F8-A5F4-787AF8AC5176}" name="LC CARD NO"/>
    <tableColumn id="7" xr3:uid="{2251A44E-26AF-4A80-9F2E-982EE1AED7AF}" name="Labour Expiry Date" dataDxfId="2"/>
    <tableColumn id="8" xr3:uid="{7A6DC9E0-3223-48C0-9A8C-39D851ADC9AA}" name="ID expiry Date" dataDxfId="1"/>
    <tableColumn id="9" xr3:uid="{0E0B7E9E-7009-4136-B276-5359B02C7928}" name="Daman Expiry Date"/>
    <tableColumn id="10" xr3:uid="{6918B58B-F4A2-4D86-A41B-2DC1FDA123B2}" name="Column1"/>
    <tableColumn id="11" xr3:uid="{E575C117-55D4-47AB-B3C2-E21EF271193B}" name="Column2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C8F887-3C2E-48BD-9C7A-FA28A27D98B8}" name="Table3" displayName="Table3" ref="A1:E45" totalsRowShown="0" headerRowDxfId="0">
  <autoFilter ref="A1:E45" xr:uid="{79969E99-420B-4E9D-A19E-6E01596A7A27}"/>
  <tableColumns count="5">
    <tableColumn id="1" xr3:uid="{C493EF23-3BD4-450E-A53D-0DAF4D3F047B}" name="Sl.No"/>
    <tableColumn id="2" xr3:uid="{D33983DD-AE2F-4E2E-849B-8A1F41DCA2A9}" name="Company Code"/>
    <tableColumn id="3" xr3:uid="{97333312-D9C9-4F41-B4A2-A5E61B211F71}" name="Company Name"/>
    <tableColumn id="4" xr3:uid="{D7484DE0-9A8C-42D6-A6FF-45AE5E0A5AFE}" name="INDEX"/>
    <tableColumn id="5" xr3:uid="{25590A1D-A433-432C-8496-F3AC94A4F3D2}" name="No of Employe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finchalil72@gmail.com" TargetMode="External"/><Relationship Id="rId18" Type="http://schemas.openxmlformats.org/officeDocument/2006/relationships/hyperlink" Target="mailto:Aa@123456" TargetMode="External"/><Relationship Id="rId26" Type="http://schemas.openxmlformats.org/officeDocument/2006/relationships/hyperlink" Target="mailto:Lesign@2024" TargetMode="External"/><Relationship Id="rId39" Type="http://schemas.openxmlformats.org/officeDocument/2006/relationships/hyperlink" Target="mailto:Aa@123456" TargetMode="External"/><Relationship Id="rId21" Type="http://schemas.openxmlformats.org/officeDocument/2006/relationships/hyperlink" Target="mailto:euroarabtourism@gmail.com" TargetMode="External"/><Relationship Id="rId34" Type="http://schemas.openxmlformats.org/officeDocument/2006/relationships/hyperlink" Target="mailto:Aa@123456" TargetMode="External"/><Relationship Id="rId42" Type="http://schemas.openxmlformats.org/officeDocument/2006/relationships/hyperlink" Target="mailto:alfastrongteabranch12@gmail.com" TargetMode="External"/><Relationship Id="rId47" Type="http://schemas.openxmlformats.org/officeDocument/2006/relationships/hyperlink" Target="mailto:Kattans@23" TargetMode="External"/><Relationship Id="rId7" Type="http://schemas.openxmlformats.org/officeDocument/2006/relationships/hyperlink" Target="mailto:dattabukharirestaurant@gmail.com" TargetMode="External"/><Relationship Id="rId2" Type="http://schemas.openxmlformats.org/officeDocument/2006/relationships/hyperlink" Target="mailto:Desert@123" TargetMode="External"/><Relationship Id="rId16" Type="http://schemas.openxmlformats.org/officeDocument/2006/relationships/hyperlink" Target="mailto:Aa@123456" TargetMode="External"/><Relationship Id="rId29" Type="http://schemas.openxmlformats.org/officeDocument/2006/relationships/hyperlink" Target="mailto:tmtptllc@gmail.com" TargetMode="External"/><Relationship Id="rId1" Type="http://schemas.openxmlformats.org/officeDocument/2006/relationships/hyperlink" Target="mailto:Desertwaves_cleaning@outlook.com" TargetMode="External"/><Relationship Id="rId6" Type="http://schemas.openxmlformats.org/officeDocument/2006/relationships/hyperlink" Target="mailto:Aa@123456" TargetMode="External"/><Relationship Id="rId11" Type="http://schemas.openxmlformats.org/officeDocument/2006/relationships/hyperlink" Target="mailto:auhkattans@gmail.com" TargetMode="External"/><Relationship Id="rId24" Type="http://schemas.openxmlformats.org/officeDocument/2006/relationships/hyperlink" Target="mailto:Aa@123456" TargetMode="External"/><Relationship Id="rId32" Type="http://schemas.openxmlformats.org/officeDocument/2006/relationships/hyperlink" Target="mailto:Aa@123456" TargetMode="External"/><Relationship Id="rId37" Type="http://schemas.openxmlformats.org/officeDocument/2006/relationships/hyperlink" Target="mailto:topseafreshfish@gmail.com" TargetMode="External"/><Relationship Id="rId40" Type="http://schemas.openxmlformats.org/officeDocument/2006/relationships/hyperlink" Target="mailto:tmpropertiesmanagement@gmail.com" TargetMode="External"/><Relationship Id="rId45" Type="http://schemas.openxmlformats.org/officeDocument/2006/relationships/hyperlink" Target="mailto:Sabkha@2024" TargetMode="External"/><Relationship Id="rId5" Type="http://schemas.openxmlformats.org/officeDocument/2006/relationships/hyperlink" Target="mailto:dattageneral786@gmail.com" TargetMode="External"/><Relationship Id="rId15" Type="http://schemas.openxmlformats.org/officeDocument/2006/relationships/hyperlink" Target="mailto:estorie2023auh@gmail.com" TargetMode="External"/><Relationship Id="rId23" Type="http://schemas.openxmlformats.org/officeDocument/2006/relationships/hyperlink" Target="mailto:neelasbeautysalon@gmail.com" TargetMode="External"/><Relationship Id="rId28" Type="http://schemas.openxmlformats.org/officeDocument/2006/relationships/hyperlink" Target="mailto:Aa@123456" TargetMode="External"/><Relationship Id="rId36" Type="http://schemas.openxmlformats.org/officeDocument/2006/relationships/hyperlink" Target="mailto:Wadi@2024" TargetMode="External"/><Relationship Id="rId10" Type="http://schemas.openxmlformats.org/officeDocument/2006/relationships/hyperlink" Target="mailto:Nabeel@123456" TargetMode="External"/><Relationship Id="rId19" Type="http://schemas.openxmlformats.org/officeDocument/2006/relationships/hyperlink" Target="mailto:Way2waytransport2@gmail.com" TargetMode="External"/><Relationship Id="rId31" Type="http://schemas.openxmlformats.org/officeDocument/2006/relationships/hyperlink" Target="mailto:naspopularcargo786@gmail.com" TargetMode="External"/><Relationship Id="rId44" Type="http://schemas.openxmlformats.org/officeDocument/2006/relationships/hyperlink" Target="mailto:SABKHACAFETERIAAUHBR3@GMAIL.COM" TargetMode="External"/><Relationship Id="rId4" Type="http://schemas.openxmlformats.org/officeDocument/2006/relationships/hyperlink" Target="mailto:Desertbrokers@2017" TargetMode="External"/><Relationship Id="rId9" Type="http://schemas.openxmlformats.org/officeDocument/2006/relationships/hyperlink" Target="mailto:Dattagtls@gmail.com" TargetMode="External"/><Relationship Id="rId14" Type="http://schemas.openxmlformats.org/officeDocument/2006/relationships/hyperlink" Target="mailto:Tastytreat@2021" TargetMode="External"/><Relationship Id="rId22" Type="http://schemas.openxmlformats.org/officeDocument/2006/relationships/hyperlink" Target="mailto:Aa@123456" TargetMode="External"/><Relationship Id="rId27" Type="http://schemas.openxmlformats.org/officeDocument/2006/relationships/hyperlink" Target="mailto:akcellencetransportcompany@gmail.com" TargetMode="External"/><Relationship Id="rId30" Type="http://schemas.openxmlformats.org/officeDocument/2006/relationships/hyperlink" Target="mailto:Pipes@12" TargetMode="External"/><Relationship Id="rId35" Type="http://schemas.openxmlformats.org/officeDocument/2006/relationships/hyperlink" Target="mailto:wadirentalequipmentconstructio@gmail.com" TargetMode="External"/><Relationship Id="rId43" Type="http://schemas.openxmlformats.org/officeDocument/2006/relationships/hyperlink" Target="mailto:Aa@123456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Datta@2024" TargetMode="External"/><Relationship Id="rId3" Type="http://schemas.openxmlformats.org/officeDocument/2006/relationships/hyperlink" Target="mailto:desertwavesbrokers@gmail.com" TargetMode="External"/><Relationship Id="rId12" Type="http://schemas.openxmlformats.org/officeDocument/2006/relationships/hyperlink" Target="mailto:Aa@123456" TargetMode="External"/><Relationship Id="rId17" Type="http://schemas.openxmlformats.org/officeDocument/2006/relationships/hyperlink" Target="mailto:waywaypassanger@gmail.com" TargetMode="External"/><Relationship Id="rId25" Type="http://schemas.openxmlformats.org/officeDocument/2006/relationships/hyperlink" Target="mailto:lesignature69@gmail.com" TargetMode="External"/><Relationship Id="rId33" Type="http://schemas.openxmlformats.org/officeDocument/2006/relationships/hyperlink" Target="mailto:hexageneralmaintenance1@gmail.com" TargetMode="External"/><Relationship Id="rId38" Type="http://schemas.openxmlformats.org/officeDocument/2006/relationships/hyperlink" Target="mailto:topsea.electromechanichal@gmail.com" TargetMode="External"/><Relationship Id="rId46" Type="http://schemas.openxmlformats.org/officeDocument/2006/relationships/hyperlink" Target="mailto:kattanscafellcbr1@gmail.com" TargetMode="External"/><Relationship Id="rId20" Type="http://schemas.openxmlformats.org/officeDocument/2006/relationships/hyperlink" Target="mailto:Aa@123456" TargetMode="External"/><Relationship Id="rId41" Type="http://schemas.openxmlformats.org/officeDocument/2006/relationships/hyperlink" Target="mailto:Aa@12345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F4BB-0D9C-4E47-887D-791BAC236DDD}">
  <dimension ref="A1:M254"/>
  <sheetViews>
    <sheetView tabSelected="1" topLeftCell="B70" zoomScaleNormal="100" workbookViewId="0">
      <selection activeCell="D255" sqref="D255"/>
    </sheetView>
  </sheetViews>
  <sheetFormatPr defaultRowHeight="15" x14ac:dyDescent="0.25"/>
  <cols>
    <col min="3" max="3" width="20.5703125" bestFit="1" customWidth="1"/>
    <col min="4" max="4" width="76.7109375" bestFit="1" customWidth="1"/>
    <col min="5" max="5" width="14.85546875" customWidth="1"/>
    <col min="8" max="8" width="18.28515625" bestFit="1" customWidth="1"/>
    <col min="9" max="9" width="14.5703125" customWidth="1"/>
    <col min="10" max="10" width="18.140625" style="2" bestFit="1" customWidth="1"/>
    <col min="11" max="11" width="10.42578125" style="2" customWidth="1"/>
    <col min="12" max="12" width="42.42578125" customWidth="1"/>
    <col min="13" max="13" width="19.7109375" customWidth="1"/>
  </cols>
  <sheetData>
    <row r="1" spans="1:13" x14ac:dyDescent="0.25">
      <c r="A1" s="4">
        <v>1</v>
      </c>
      <c r="B1" s="4" t="s">
        <v>7</v>
      </c>
      <c r="C1" s="4" t="s">
        <v>349</v>
      </c>
      <c r="D1" s="4" t="s">
        <v>0</v>
      </c>
      <c r="E1" s="4" t="s">
        <v>27</v>
      </c>
      <c r="F1" s="4"/>
      <c r="G1" s="4"/>
      <c r="H1" s="4" t="s">
        <v>30</v>
      </c>
      <c r="I1" s="4" t="s">
        <v>37</v>
      </c>
      <c r="J1" s="5" t="s">
        <v>38</v>
      </c>
      <c r="K1" s="5" t="s">
        <v>334</v>
      </c>
      <c r="L1" s="4" t="s">
        <v>28</v>
      </c>
      <c r="M1" s="4" t="s">
        <v>29</v>
      </c>
    </row>
    <row r="2" spans="1:13" x14ac:dyDescent="0.25">
      <c r="A2" s="4">
        <v>2</v>
      </c>
      <c r="B2" s="40" t="s">
        <v>6</v>
      </c>
      <c r="C2" s="19" t="s">
        <v>350</v>
      </c>
      <c r="D2" s="4" t="s">
        <v>36</v>
      </c>
      <c r="E2" s="4">
        <v>569383341</v>
      </c>
      <c r="F2" s="4"/>
      <c r="G2" s="4"/>
      <c r="H2" s="6" t="s">
        <v>39</v>
      </c>
      <c r="I2" s="7">
        <v>46600</v>
      </c>
      <c r="J2" s="8" t="s">
        <v>40</v>
      </c>
      <c r="K2" s="7" t="s">
        <v>335</v>
      </c>
      <c r="L2" s="9" t="s">
        <v>34</v>
      </c>
      <c r="M2" s="9" t="s">
        <v>35</v>
      </c>
    </row>
    <row r="3" spans="1:13" x14ac:dyDescent="0.25">
      <c r="A3" s="4">
        <v>3</v>
      </c>
      <c r="B3" s="40"/>
      <c r="C3" s="19" t="s">
        <v>351</v>
      </c>
      <c r="D3" s="4" t="s">
        <v>41</v>
      </c>
      <c r="E3" s="4">
        <v>569383341</v>
      </c>
      <c r="F3" s="4"/>
      <c r="G3" s="4"/>
      <c r="H3" s="6">
        <v>46169</v>
      </c>
      <c r="I3" s="7">
        <v>46902</v>
      </c>
      <c r="J3" s="10">
        <v>46153</v>
      </c>
      <c r="K3" s="6" t="s">
        <v>335</v>
      </c>
      <c r="L3" s="9" t="s">
        <v>42</v>
      </c>
      <c r="M3" s="9" t="s">
        <v>43</v>
      </c>
    </row>
    <row r="4" spans="1:13" x14ac:dyDescent="0.25">
      <c r="A4" s="4">
        <v>4</v>
      </c>
      <c r="B4" s="40"/>
      <c r="C4" s="19" t="s">
        <v>352</v>
      </c>
      <c r="D4" s="11" t="s">
        <v>1</v>
      </c>
      <c r="E4" s="12">
        <v>569383341</v>
      </c>
      <c r="F4" s="4"/>
      <c r="G4" s="4"/>
      <c r="H4" s="13">
        <v>0</v>
      </c>
      <c r="I4" s="13">
        <v>0</v>
      </c>
      <c r="J4" s="14">
        <v>0</v>
      </c>
      <c r="K4" s="14"/>
      <c r="L4" s="12">
        <v>0</v>
      </c>
      <c r="M4" s="12">
        <v>0</v>
      </c>
    </row>
    <row r="5" spans="1:13" x14ac:dyDescent="0.25">
      <c r="A5" s="4">
        <v>5</v>
      </c>
      <c r="B5" s="40"/>
      <c r="C5" s="19" t="s">
        <v>353</v>
      </c>
      <c r="D5" s="11" t="s">
        <v>2</v>
      </c>
      <c r="E5" s="12">
        <v>569383341</v>
      </c>
      <c r="F5" s="4"/>
      <c r="G5" s="4"/>
      <c r="H5" s="13">
        <v>1</v>
      </c>
      <c r="I5" s="13">
        <v>1</v>
      </c>
      <c r="J5" s="14">
        <v>1</v>
      </c>
      <c r="K5" s="14"/>
      <c r="L5" s="12">
        <v>0</v>
      </c>
      <c r="M5" s="12">
        <v>0</v>
      </c>
    </row>
    <row r="6" spans="1:13" x14ac:dyDescent="0.25">
      <c r="A6" s="4">
        <v>6</v>
      </c>
      <c r="B6" s="40"/>
      <c r="C6" s="19" t="s">
        <v>354</v>
      </c>
      <c r="D6" s="11" t="s">
        <v>3</v>
      </c>
      <c r="E6" s="12">
        <v>569383341</v>
      </c>
      <c r="F6" s="4"/>
      <c r="G6" s="4"/>
      <c r="H6" s="13">
        <v>2</v>
      </c>
      <c r="I6" s="13">
        <v>2</v>
      </c>
      <c r="J6" s="14">
        <v>2</v>
      </c>
      <c r="K6" s="14"/>
      <c r="L6" s="12">
        <v>0</v>
      </c>
      <c r="M6" s="12">
        <v>0</v>
      </c>
    </row>
    <row r="7" spans="1:13" x14ac:dyDescent="0.25">
      <c r="A7" s="4">
        <v>7</v>
      </c>
      <c r="B7" s="40"/>
      <c r="C7" s="19" t="s">
        <v>355</v>
      </c>
      <c r="D7" s="11" t="s">
        <v>4</v>
      </c>
      <c r="E7" s="12">
        <v>569383341</v>
      </c>
      <c r="F7" s="4"/>
      <c r="G7" s="4"/>
      <c r="H7" s="13">
        <v>3</v>
      </c>
      <c r="I7" s="13">
        <v>3</v>
      </c>
      <c r="J7" s="14">
        <v>3</v>
      </c>
      <c r="K7" s="14"/>
      <c r="L7" s="12">
        <v>0</v>
      </c>
      <c r="M7" s="12">
        <v>0</v>
      </c>
    </row>
    <row r="8" spans="1:13" x14ac:dyDescent="0.25">
      <c r="A8" s="4">
        <v>8</v>
      </c>
      <c r="B8" s="40"/>
      <c r="C8" s="19" t="s">
        <v>356</v>
      </c>
      <c r="D8" s="11" t="s">
        <v>5</v>
      </c>
      <c r="E8" s="12">
        <v>569383341</v>
      </c>
      <c r="F8" s="4"/>
      <c r="G8" s="4"/>
      <c r="H8" s="13">
        <v>4</v>
      </c>
      <c r="I8" s="13">
        <v>4</v>
      </c>
      <c r="J8" s="14">
        <v>4</v>
      </c>
      <c r="K8" s="14"/>
      <c r="L8" s="12">
        <v>0</v>
      </c>
      <c r="M8" s="12">
        <v>0</v>
      </c>
    </row>
    <row r="9" spans="1:13" x14ac:dyDescent="0.25">
      <c r="A9" s="4">
        <v>9</v>
      </c>
      <c r="B9" s="40" t="s">
        <v>8</v>
      </c>
      <c r="C9" s="19" t="s">
        <v>357</v>
      </c>
      <c r="D9" s="4" t="s">
        <v>44</v>
      </c>
      <c r="E9" s="4">
        <v>588675581</v>
      </c>
      <c r="F9" s="4"/>
      <c r="G9" s="4"/>
      <c r="H9" s="6">
        <v>46365</v>
      </c>
      <c r="I9" s="6">
        <v>47017</v>
      </c>
      <c r="J9" s="10">
        <v>46283</v>
      </c>
      <c r="K9" s="10"/>
      <c r="L9" s="9" t="s">
        <v>45</v>
      </c>
      <c r="M9" s="9" t="s">
        <v>46</v>
      </c>
    </row>
    <row r="10" spans="1:13" x14ac:dyDescent="0.25">
      <c r="A10" s="4">
        <v>10</v>
      </c>
      <c r="B10" s="40"/>
      <c r="C10" s="19" t="s">
        <v>358</v>
      </c>
      <c r="D10" s="4" t="s">
        <v>52</v>
      </c>
      <c r="E10" s="4">
        <v>588675581</v>
      </c>
      <c r="F10" s="4"/>
      <c r="G10" s="4"/>
      <c r="H10" s="6">
        <v>46084</v>
      </c>
      <c r="I10" s="6">
        <v>46876</v>
      </c>
      <c r="J10" s="10">
        <v>46115</v>
      </c>
      <c r="K10" s="10"/>
      <c r="L10" s="9" t="s">
        <v>47</v>
      </c>
      <c r="M10" s="9" t="s">
        <v>48</v>
      </c>
    </row>
    <row r="11" spans="1:13" x14ac:dyDescent="0.25">
      <c r="A11" s="4">
        <v>11</v>
      </c>
      <c r="B11" s="40"/>
      <c r="C11" s="19" t="s">
        <v>359</v>
      </c>
      <c r="D11" s="4" t="s">
        <v>51</v>
      </c>
      <c r="E11" s="4">
        <v>588675581</v>
      </c>
      <c r="F11" s="4"/>
      <c r="G11" s="4"/>
      <c r="H11" s="6">
        <v>47335</v>
      </c>
      <c r="I11" s="7">
        <v>46484</v>
      </c>
      <c r="J11" s="10">
        <v>46334</v>
      </c>
      <c r="K11" s="10"/>
      <c r="L11" s="9" t="s">
        <v>49</v>
      </c>
      <c r="M11" s="9" t="s">
        <v>50</v>
      </c>
    </row>
    <row r="12" spans="1:13" x14ac:dyDescent="0.25">
      <c r="A12" s="4">
        <v>12</v>
      </c>
      <c r="B12" s="40" t="s">
        <v>11</v>
      </c>
      <c r="C12" s="19" t="s">
        <v>360</v>
      </c>
      <c r="D12" s="4" t="s">
        <v>53</v>
      </c>
      <c r="E12" s="4">
        <v>553256699</v>
      </c>
      <c r="F12" s="4"/>
      <c r="G12" s="4"/>
      <c r="H12" s="6">
        <v>46234</v>
      </c>
      <c r="I12" s="7">
        <v>46921</v>
      </c>
      <c r="J12" s="10">
        <v>46171</v>
      </c>
      <c r="K12" s="10"/>
      <c r="L12" s="9" t="s">
        <v>54</v>
      </c>
      <c r="M12" s="9" t="s">
        <v>46</v>
      </c>
    </row>
    <row r="13" spans="1:13" s="1" customFormat="1" x14ac:dyDescent="0.25">
      <c r="A13" s="4">
        <v>13</v>
      </c>
      <c r="B13" s="40"/>
      <c r="C13" s="19" t="s">
        <v>361</v>
      </c>
      <c r="D13" s="20" t="s">
        <v>664</v>
      </c>
      <c r="E13" s="20">
        <v>553256699</v>
      </c>
      <c r="F13" s="12"/>
      <c r="G13" s="12"/>
      <c r="H13" s="22">
        <v>46453</v>
      </c>
      <c r="I13" s="24">
        <v>46941</v>
      </c>
      <c r="J13" s="23">
        <v>46365</v>
      </c>
      <c r="K13" s="16"/>
      <c r="L13" s="3" t="s">
        <v>635</v>
      </c>
      <c r="M13" s="3" t="s">
        <v>636</v>
      </c>
    </row>
    <row r="14" spans="1:13" x14ac:dyDescent="0.25">
      <c r="A14" s="4">
        <v>14</v>
      </c>
      <c r="B14" s="40"/>
      <c r="C14" s="19" t="s">
        <v>362</v>
      </c>
      <c r="D14" s="4" t="s">
        <v>669</v>
      </c>
      <c r="E14" s="4">
        <v>553256699</v>
      </c>
      <c r="F14" s="4"/>
      <c r="G14" s="4"/>
      <c r="H14" s="6">
        <v>46210</v>
      </c>
      <c r="I14" s="6">
        <v>46340</v>
      </c>
      <c r="J14" s="10">
        <v>46510</v>
      </c>
      <c r="K14" s="10"/>
      <c r="L14" s="9" t="s">
        <v>55</v>
      </c>
      <c r="M14" s="9" t="s">
        <v>56</v>
      </c>
    </row>
    <row r="15" spans="1:13" s="1" customFormat="1" x14ac:dyDescent="0.25">
      <c r="A15" s="4">
        <v>15</v>
      </c>
      <c r="B15" s="40"/>
      <c r="C15" s="19" t="s">
        <v>363</v>
      </c>
      <c r="D15" s="20" t="s">
        <v>639</v>
      </c>
      <c r="E15" s="20">
        <v>553256699</v>
      </c>
      <c r="F15" s="12"/>
      <c r="G15" s="12"/>
      <c r="H15" s="22">
        <v>46085</v>
      </c>
      <c r="I15" s="22" t="s">
        <v>641</v>
      </c>
      <c r="J15" s="23" t="s">
        <v>640</v>
      </c>
      <c r="K15" s="16"/>
      <c r="L15" s="3" t="s">
        <v>637</v>
      </c>
      <c r="M15" s="3" t="s">
        <v>638</v>
      </c>
    </row>
    <row r="16" spans="1:13" x14ac:dyDescent="0.25">
      <c r="A16" s="4">
        <v>16</v>
      </c>
      <c r="B16" s="40"/>
      <c r="C16" s="19" t="s">
        <v>364</v>
      </c>
      <c r="D16" s="4" t="s">
        <v>9</v>
      </c>
      <c r="E16" s="4">
        <v>553256699</v>
      </c>
      <c r="F16" s="4"/>
      <c r="G16" s="4"/>
      <c r="H16" s="6" t="s">
        <v>58</v>
      </c>
      <c r="I16" s="6" t="s">
        <v>95</v>
      </c>
      <c r="J16" s="10">
        <v>46285</v>
      </c>
      <c r="K16" s="10"/>
      <c r="L16" s="9" t="s">
        <v>57</v>
      </c>
      <c r="M16" s="9" t="s">
        <v>46</v>
      </c>
    </row>
    <row r="17" spans="1:13" s="1" customFormat="1" x14ac:dyDescent="0.25">
      <c r="A17" s="4">
        <v>17</v>
      </c>
      <c r="B17" s="40"/>
      <c r="C17" s="19" t="s">
        <v>365</v>
      </c>
      <c r="D17" s="12" t="s">
        <v>10</v>
      </c>
      <c r="E17" s="12">
        <v>553256699</v>
      </c>
      <c r="F17" s="12"/>
      <c r="G17" s="12"/>
      <c r="H17" s="15">
        <v>0</v>
      </c>
      <c r="I17" s="15">
        <v>0</v>
      </c>
      <c r="J17" s="16">
        <v>0</v>
      </c>
      <c r="K17" s="16"/>
      <c r="L17" s="12">
        <v>0</v>
      </c>
      <c r="M17" s="12">
        <v>0</v>
      </c>
    </row>
    <row r="18" spans="1:13" x14ac:dyDescent="0.25">
      <c r="A18" s="4">
        <v>18</v>
      </c>
      <c r="B18" s="41" t="s">
        <v>12</v>
      </c>
      <c r="C18" s="19" t="s">
        <v>366</v>
      </c>
      <c r="D18" s="4" t="s">
        <v>62</v>
      </c>
      <c r="E18" s="4">
        <v>529910008</v>
      </c>
      <c r="F18" s="4"/>
      <c r="G18" s="4"/>
      <c r="H18" s="6">
        <v>46999</v>
      </c>
      <c r="I18" s="6">
        <v>47033</v>
      </c>
      <c r="J18" s="10">
        <v>46120</v>
      </c>
      <c r="K18" s="10"/>
      <c r="L18" s="9" t="s">
        <v>59</v>
      </c>
      <c r="M18" s="9" t="s">
        <v>46</v>
      </c>
    </row>
    <row r="19" spans="1:13" x14ac:dyDescent="0.25">
      <c r="A19" s="4">
        <v>19</v>
      </c>
      <c r="B19" s="41"/>
      <c r="C19" s="19" t="s">
        <v>367</v>
      </c>
      <c r="D19" s="4" t="s">
        <v>61</v>
      </c>
      <c r="E19" s="4">
        <v>529910008</v>
      </c>
      <c r="F19" s="4"/>
      <c r="G19" s="4"/>
      <c r="H19" s="6">
        <v>46274</v>
      </c>
      <c r="I19" s="7">
        <v>46249</v>
      </c>
      <c r="J19" s="10">
        <v>46374</v>
      </c>
      <c r="K19" s="10"/>
      <c r="L19" s="9" t="s">
        <v>60</v>
      </c>
      <c r="M19" s="9" t="s">
        <v>46</v>
      </c>
    </row>
    <row r="20" spans="1:13" x14ac:dyDescent="0.25">
      <c r="A20" s="4">
        <v>20</v>
      </c>
      <c r="B20" s="4"/>
      <c r="C20" s="19" t="s">
        <v>368</v>
      </c>
      <c r="D20" s="4" t="s">
        <v>83</v>
      </c>
      <c r="E20" s="4">
        <v>552914478</v>
      </c>
      <c r="F20" s="4"/>
      <c r="G20" s="4"/>
      <c r="H20" s="6">
        <v>46392</v>
      </c>
      <c r="I20" s="6">
        <v>46124</v>
      </c>
      <c r="J20" s="10">
        <v>46218</v>
      </c>
      <c r="K20" s="10"/>
      <c r="L20" s="9" t="s">
        <v>63</v>
      </c>
      <c r="M20" s="9" t="s">
        <v>46</v>
      </c>
    </row>
    <row r="21" spans="1:13" x14ac:dyDescent="0.25">
      <c r="A21" s="4">
        <v>21</v>
      </c>
      <c r="B21" s="4"/>
      <c r="C21" s="19" t="s">
        <v>369</v>
      </c>
      <c r="D21" s="4" t="s">
        <v>86</v>
      </c>
      <c r="E21" s="4">
        <v>565620211</v>
      </c>
      <c r="F21" s="4"/>
      <c r="G21" s="4"/>
      <c r="H21" s="6">
        <v>46084</v>
      </c>
      <c r="I21" s="6">
        <v>46348</v>
      </c>
      <c r="J21" s="10">
        <v>46107</v>
      </c>
      <c r="K21" s="10"/>
      <c r="L21" s="9" t="s">
        <v>84</v>
      </c>
      <c r="M21" s="9" t="s">
        <v>85</v>
      </c>
    </row>
    <row r="22" spans="1:13" x14ac:dyDescent="0.25">
      <c r="A22" s="4">
        <v>22</v>
      </c>
      <c r="B22" s="4"/>
      <c r="C22" s="19" t="s">
        <v>370</v>
      </c>
      <c r="D22" s="4" t="s">
        <v>65</v>
      </c>
      <c r="E22" s="4">
        <v>525863107</v>
      </c>
      <c r="F22" s="4"/>
      <c r="G22" s="4"/>
      <c r="H22" s="6">
        <v>46149</v>
      </c>
      <c r="I22" s="7">
        <v>46781</v>
      </c>
      <c r="J22" s="10">
        <v>46693</v>
      </c>
      <c r="K22" s="10"/>
      <c r="L22" s="9" t="s">
        <v>64</v>
      </c>
      <c r="M22" s="9" t="s">
        <v>46</v>
      </c>
    </row>
    <row r="23" spans="1:13" x14ac:dyDescent="0.25">
      <c r="A23" s="4">
        <v>23</v>
      </c>
      <c r="B23" s="4"/>
      <c r="C23" s="19" t="s">
        <v>371</v>
      </c>
      <c r="D23" s="4" t="s">
        <v>66</v>
      </c>
      <c r="E23" s="4">
        <v>529425234</v>
      </c>
      <c r="F23" s="4"/>
      <c r="G23" s="4"/>
      <c r="H23" s="6" t="s">
        <v>67</v>
      </c>
      <c r="I23" s="6">
        <v>46522</v>
      </c>
      <c r="J23" s="10">
        <v>46227</v>
      </c>
      <c r="K23" s="10"/>
      <c r="L23" s="9" t="s">
        <v>68</v>
      </c>
      <c r="M23" s="9" t="s">
        <v>69</v>
      </c>
    </row>
    <row r="24" spans="1:13" x14ac:dyDescent="0.25">
      <c r="A24" s="4">
        <v>24</v>
      </c>
      <c r="B24" s="4"/>
      <c r="C24" s="19" t="s">
        <v>372</v>
      </c>
      <c r="D24" s="4" t="s">
        <v>70</v>
      </c>
      <c r="E24" s="4">
        <v>504430298</v>
      </c>
      <c r="F24" s="4"/>
      <c r="G24" s="4"/>
      <c r="H24" s="6" t="s">
        <v>71</v>
      </c>
      <c r="I24" s="6">
        <v>47095</v>
      </c>
      <c r="J24" s="10">
        <v>46225</v>
      </c>
      <c r="K24" s="10"/>
      <c r="L24" s="9" t="s">
        <v>72</v>
      </c>
      <c r="M24" s="9" t="s">
        <v>46</v>
      </c>
    </row>
    <row r="25" spans="1:13" x14ac:dyDescent="0.25">
      <c r="A25" s="4">
        <v>25</v>
      </c>
      <c r="B25" s="4"/>
      <c r="C25" s="19" t="s">
        <v>373</v>
      </c>
      <c r="D25" s="4" t="s">
        <v>76</v>
      </c>
      <c r="E25" s="4">
        <v>504554979</v>
      </c>
      <c r="F25" s="4"/>
      <c r="G25" s="4"/>
      <c r="H25" s="6" t="s">
        <v>77</v>
      </c>
      <c r="I25" s="6">
        <v>46772</v>
      </c>
      <c r="J25" s="10">
        <v>46392</v>
      </c>
      <c r="K25" s="10"/>
      <c r="L25" s="9" t="s">
        <v>74</v>
      </c>
      <c r="M25" s="9" t="s">
        <v>75</v>
      </c>
    </row>
    <row r="26" spans="1:13" x14ac:dyDescent="0.25">
      <c r="A26" s="4">
        <v>26</v>
      </c>
      <c r="B26" s="4"/>
      <c r="C26" s="19" t="s">
        <v>374</v>
      </c>
      <c r="D26" s="20" t="s">
        <v>13</v>
      </c>
      <c r="E26" s="4">
        <v>504554979</v>
      </c>
      <c r="F26" s="4"/>
      <c r="G26" s="4"/>
      <c r="H26" s="6"/>
      <c r="I26" s="6"/>
      <c r="J26" s="10"/>
      <c r="K26" s="10"/>
      <c r="L26" s="4"/>
      <c r="M26" s="4"/>
    </row>
    <row r="27" spans="1:13" x14ac:dyDescent="0.25">
      <c r="A27" s="4">
        <v>27</v>
      </c>
      <c r="B27" s="4"/>
      <c r="C27" s="19" t="s">
        <v>375</v>
      </c>
      <c r="D27" s="20" t="s">
        <v>14</v>
      </c>
      <c r="E27" s="4">
        <v>564893948</v>
      </c>
      <c r="F27" s="4"/>
      <c r="G27" s="4"/>
      <c r="H27" s="6"/>
      <c r="I27" s="6"/>
      <c r="J27" s="10"/>
      <c r="K27" s="10"/>
      <c r="L27" s="4"/>
      <c r="M27" s="4"/>
    </row>
    <row r="28" spans="1:13" x14ac:dyDescent="0.25">
      <c r="A28" s="4">
        <v>28</v>
      </c>
      <c r="B28" s="4"/>
      <c r="C28" s="19" t="s">
        <v>376</v>
      </c>
      <c r="D28" s="4" t="s">
        <v>87</v>
      </c>
      <c r="E28" s="4">
        <v>508503154</v>
      </c>
      <c r="F28" s="4"/>
      <c r="G28" s="4"/>
      <c r="H28" s="6" t="s">
        <v>88</v>
      </c>
      <c r="I28" s="6">
        <v>47055</v>
      </c>
      <c r="J28" s="10">
        <v>46241</v>
      </c>
      <c r="K28" s="10"/>
      <c r="L28" s="9" t="s">
        <v>89</v>
      </c>
      <c r="M28" s="4" t="s">
        <v>90</v>
      </c>
    </row>
    <row r="29" spans="1:13" x14ac:dyDescent="0.25">
      <c r="A29" s="4">
        <v>29</v>
      </c>
      <c r="B29" s="4"/>
      <c r="C29" s="19" t="s">
        <v>377</v>
      </c>
      <c r="D29" s="4" t="s">
        <v>91</v>
      </c>
      <c r="E29" s="4">
        <v>508503154</v>
      </c>
      <c r="F29" s="4"/>
      <c r="G29" s="4"/>
      <c r="H29" s="6">
        <v>46362</v>
      </c>
      <c r="I29" s="6">
        <v>46362</v>
      </c>
      <c r="J29" s="10">
        <v>46186</v>
      </c>
      <c r="K29" s="10"/>
      <c r="L29" s="9" t="s">
        <v>92</v>
      </c>
      <c r="M29" s="9" t="s">
        <v>46</v>
      </c>
    </row>
    <row r="30" spans="1:13" x14ac:dyDescent="0.25">
      <c r="A30" s="4">
        <v>30</v>
      </c>
      <c r="B30" s="4"/>
      <c r="C30" s="19" t="s">
        <v>378</v>
      </c>
      <c r="D30" s="4" t="s">
        <v>93</v>
      </c>
      <c r="E30" s="4">
        <v>586444975</v>
      </c>
      <c r="F30" s="4"/>
      <c r="G30" s="4"/>
      <c r="H30" s="6" t="s">
        <v>94</v>
      </c>
      <c r="I30" s="6">
        <v>46227</v>
      </c>
      <c r="J30" s="10">
        <v>46163</v>
      </c>
      <c r="K30" s="10"/>
      <c r="L30" s="9" t="s">
        <v>73</v>
      </c>
      <c r="M30" s="9" t="s">
        <v>46</v>
      </c>
    </row>
    <row r="31" spans="1:13" x14ac:dyDescent="0.25">
      <c r="A31" s="4">
        <v>31</v>
      </c>
      <c r="B31" s="4"/>
      <c r="C31" s="19" t="s">
        <v>379</v>
      </c>
      <c r="D31" s="4" t="s">
        <v>98</v>
      </c>
      <c r="E31" s="4">
        <v>561536153</v>
      </c>
      <c r="F31" s="4"/>
      <c r="G31" s="4"/>
      <c r="H31" s="6">
        <v>46413</v>
      </c>
      <c r="I31" s="6">
        <v>47146</v>
      </c>
      <c r="J31" s="10">
        <v>46414</v>
      </c>
      <c r="K31" s="10"/>
      <c r="L31" s="4"/>
      <c r="M31" s="4"/>
    </row>
    <row r="32" spans="1:13" x14ac:dyDescent="0.25">
      <c r="A32" s="4">
        <v>32</v>
      </c>
      <c r="B32" s="4"/>
      <c r="C32" s="19" t="s">
        <v>380</v>
      </c>
      <c r="D32" s="4" t="s">
        <v>15</v>
      </c>
      <c r="E32" s="4">
        <v>566114212</v>
      </c>
      <c r="F32" s="4"/>
      <c r="G32" s="4"/>
      <c r="H32" s="6"/>
      <c r="I32" s="6"/>
      <c r="J32" s="10"/>
      <c r="K32" s="10"/>
      <c r="L32" s="4"/>
      <c r="M32" s="4"/>
    </row>
    <row r="33" spans="1:13" x14ac:dyDescent="0.25">
      <c r="A33" s="4">
        <v>33</v>
      </c>
      <c r="B33" s="4"/>
      <c r="C33" s="19" t="s">
        <v>381</v>
      </c>
      <c r="D33" s="4" t="s">
        <v>898</v>
      </c>
      <c r="E33" s="4">
        <v>558303070</v>
      </c>
      <c r="F33" s="4"/>
      <c r="G33" s="4"/>
      <c r="H33" s="6">
        <v>46175</v>
      </c>
      <c r="I33" s="6">
        <v>46181</v>
      </c>
      <c r="J33" s="10">
        <v>46242</v>
      </c>
      <c r="K33" s="10"/>
      <c r="L33" s="4"/>
      <c r="M33" s="4"/>
    </row>
    <row r="34" spans="1:13" x14ac:dyDescent="0.25">
      <c r="A34" s="4">
        <v>34</v>
      </c>
      <c r="B34" s="4"/>
      <c r="C34" s="19" t="s">
        <v>382</v>
      </c>
      <c r="D34" s="17" t="s">
        <v>16</v>
      </c>
      <c r="E34" s="4">
        <v>558303070</v>
      </c>
      <c r="F34" s="4"/>
      <c r="G34" s="4"/>
      <c r="H34" s="6"/>
      <c r="I34" s="6"/>
      <c r="J34" s="10"/>
      <c r="K34" s="10"/>
      <c r="L34" s="4"/>
      <c r="M34" s="4"/>
    </row>
    <row r="35" spans="1:13" x14ac:dyDescent="0.25">
      <c r="A35" s="4">
        <v>35</v>
      </c>
      <c r="B35" s="4"/>
      <c r="C35" s="19" t="s">
        <v>383</v>
      </c>
      <c r="D35" s="4" t="s">
        <v>916</v>
      </c>
      <c r="E35" s="4">
        <v>509755044</v>
      </c>
      <c r="F35" s="4"/>
      <c r="G35" s="4"/>
      <c r="H35" s="6"/>
      <c r="I35" s="6"/>
      <c r="J35" s="10"/>
      <c r="K35" s="10"/>
      <c r="L35" s="4"/>
      <c r="M35" s="4"/>
    </row>
    <row r="36" spans="1:13" x14ac:dyDescent="0.25">
      <c r="A36" s="4">
        <v>36</v>
      </c>
      <c r="B36" s="4"/>
      <c r="C36" s="19" t="s">
        <v>384</v>
      </c>
      <c r="D36" s="4" t="s">
        <v>817</v>
      </c>
      <c r="E36" s="4">
        <v>554969832</v>
      </c>
      <c r="F36" s="4"/>
      <c r="G36" s="4"/>
      <c r="H36" s="6"/>
      <c r="I36" s="6"/>
      <c r="J36" s="10"/>
      <c r="K36" s="10"/>
      <c r="L36" s="4"/>
      <c r="M36" s="4"/>
    </row>
    <row r="37" spans="1:13" x14ac:dyDescent="0.25">
      <c r="A37" s="4">
        <v>37</v>
      </c>
      <c r="B37" s="4"/>
      <c r="C37" s="19" t="s">
        <v>385</v>
      </c>
      <c r="D37" s="4" t="s">
        <v>17</v>
      </c>
      <c r="E37" s="4">
        <v>501796869</v>
      </c>
      <c r="F37" s="4"/>
      <c r="G37" s="4"/>
      <c r="H37" s="6"/>
      <c r="I37" s="6"/>
      <c r="J37" s="10"/>
      <c r="K37" s="10"/>
      <c r="L37" s="4"/>
      <c r="M37" s="4"/>
    </row>
    <row r="38" spans="1:13" x14ac:dyDescent="0.25">
      <c r="A38" s="4">
        <v>38</v>
      </c>
      <c r="B38" s="4"/>
      <c r="C38" s="19" t="s">
        <v>386</v>
      </c>
      <c r="D38" s="4" t="s">
        <v>801</v>
      </c>
      <c r="E38" s="4">
        <v>508202367</v>
      </c>
      <c r="F38" s="4"/>
      <c r="G38" s="4"/>
      <c r="H38" s="6"/>
      <c r="I38" s="6"/>
      <c r="J38" s="10"/>
      <c r="K38" s="10"/>
      <c r="L38" s="4"/>
      <c r="M38" s="4"/>
    </row>
    <row r="39" spans="1:13" x14ac:dyDescent="0.25">
      <c r="A39" s="4">
        <v>39</v>
      </c>
      <c r="B39" s="4"/>
      <c r="C39" s="19" t="s">
        <v>387</v>
      </c>
      <c r="D39" s="4" t="s">
        <v>869</v>
      </c>
      <c r="E39" s="4">
        <v>504152759</v>
      </c>
      <c r="F39" s="4"/>
      <c r="G39" s="4"/>
      <c r="H39" s="6"/>
      <c r="I39" s="6"/>
      <c r="J39" s="10"/>
      <c r="K39" s="10"/>
      <c r="L39" s="4"/>
      <c r="M39" s="4"/>
    </row>
    <row r="40" spans="1:13" x14ac:dyDescent="0.25">
      <c r="A40" s="4">
        <v>40</v>
      </c>
      <c r="B40" s="4"/>
      <c r="C40" s="19" t="s">
        <v>388</v>
      </c>
      <c r="D40" s="4" t="s">
        <v>18</v>
      </c>
      <c r="E40" s="4">
        <v>502566613</v>
      </c>
      <c r="F40" s="4"/>
      <c r="G40" s="4"/>
      <c r="H40" s="6"/>
      <c r="I40" s="6"/>
      <c r="J40" s="10"/>
      <c r="K40" s="10"/>
      <c r="L40" s="4"/>
      <c r="M40" s="4"/>
    </row>
    <row r="41" spans="1:13" x14ac:dyDescent="0.25">
      <c r="A41" s="4">
        <v>41</v>
      </c>
      <c r="B41" s="4"/>
      <c r="C41" s="19" t="s">
        <v>389</v>
      </c>
      <c r="D41" s="4" t="s">
        <v>873</v>
      </c>
      <c r="E41" s="4">
        <v>564200495</v>
      </c>
      <c r="F41" s="4"/>
      <c r="G41" s="4"/>
      <c r="H41" s="6"/>
      <c r="I41" s="6"/>
      <c r="J41" s="10"/>
      <c r="K41" s="10"/>
      <c r="L41" s="4"/>
      <c r="M41" s="4"/>
    </row>
    <row r="42" spans="1:13" x14ac:dyDescent="0.25">
      <c r="A42" s="4">
        <v>42</v>
      </c>
      <c r="B42" s="4"/>
      <c r="C42" s="19" t="s">
        <v>390</v>
      </c>
      <c r="D42" s="4" t="s">
        <v>19</v>
      </c>
      <c r="E42" s="4">
        <v>589631488</v>
      </c>
      <c r="F42" s="4"/>
      <c r="G42" s="4"/>
      <c r="H42" s="6"/>
      <c r="I42" s="6"/>
      <c r="J42" s="10"/>
      <c r="K42" s="10"/>
      <c r="L42" s="4"/>
      <c r="M42" s="4"/>
    </row>
    <row r="43" spans="1:13" x14ac:dyDescent="0.25">
      <c r="A43" s="4">
        <v>43</v>
      </c>
      <c r="B43" s="4"/>
      <c r="C43" s="19" t="s">
        <v>391</v>
      </c>
      <c r="D43" s="4" t="s">
        <v>20</v>
      </c>
      <c r="E43" s="4">
        <v>504841852</v>
      </c>
      <c r="F43" s="4"/>
      <c r="G43" s="4"/>
      <c r="H43" s="6"/>
      <c r="I43" s="6"/>
      <c r="J43" s="10"/>
      <c r="K43" s="10"/>
      <c r="L43" s="4"/>
      <c r="M43" s="4"/>
    </row>
    <row r="44" spans="1:13" x14ac:dyDescent="0.25">
      <c r="A44" s="4">
        <v>44</v>
      </c>
      <c r="B44" s="4"/>
      <c r="C44" s="19" t="s">
        <v>392</v>
      </c>
      <c r="D44" s="4" t="s">
        <v>21</v>
      </c>
      <c r="E44" s="4">
        <v>558778861</v>
      </c>
      <c r="F44" s="4"/>
      <c r="G44" s="4"/>
      <c r="H44" s="6"/>
      <c r="I44" s="6"/>
      <c r="J44" s="10"/>
      <c r="K44" s="10"/>
      <c r="L44" s="4"/>
      <c r="M44" s="4"/>
    </row>
    <row r="45" spans="1:13" x14ac:dyDescent="0.25">
      <c r="A45" s="4">
        <v>45</v>
      </c>
      <c r="B45" s="4"/>
      <c r="C45" s="19" t="s">
        <v>393</v>
      </c>
      <c r="D45" s="4" t="s">
        <v>22</v>
      </c>
      <c r="E45" s="4">
        <v>566625051</v>
      </c>
      <c r="F45" s="4"/>
      <c r="G45" s="4"/>
      <c r="H45" s="6"/>
      <c r="I45" s="6"/>
      <c r="J45" s="10"/>
      <c r="K45" s="10"/>
      <c r="L45" s="4"/>
      <c r="M45" s="4"/>
    </row>
    <row r="46" spans="1:13" x14ac:dyDescent="0.25">
      <c r="A46" s="4">
        <v>46</v>
      </c>
      <c r="B46" s="4"/>
      <c r="C46" s="19" t="s">
        <v>394</v>
      </c>
      <c r="D46" s="4" t="s">
        <v>23</v>
      </c>
      <c r="E46" s="4">
        <v>501347886</v>
      </c>
      <c r="F46" s="4"/>
      <c r="G46" s="4"/>
      <c r="H46" s="6"/>
      <c r="I46" s="6"/>
      <c r="J46" s="10"/>
      <c r="K46" s="10"/>
      <c r="L46" s="4"/>
      <c r="M46" s="4"/>
    </row>
    <row r="47" spans="1:13" x14ac:dyDescent="0.25">
      <c r="A47" s="4">
        <v>47</v>
      </c>
      <c r="B47" s="4"/>
      <c r="C47" s="19" t="s">
        <v>395</v>
      </c>
      <c r="D47" s="4" t="s">
        <v>24</v>
      </c>
      <c r="E47" s="4">
        <v>568161706</v>
      </c>
      <c r="F47" s="4"/>
      <c r="G47" s="4"/>
      <c r="H47" s="6"/>
      <c r="I47" s="6"/>
      <c r="J47" s="10"/>
      <c r="K47" s="10"/>
      <c r="L47" s="4"/>
      <c r="M47" s="4"/>
    </row>
    <row r="48" spans="1:13" x14ac:dyDescent="0.25">
      <c r="A48" s="4">
        <v>48</v>
      </c>
      <c r="B48" s="4"/>
      <c r="C48" s="19" t="s">
        <v>396</v>
      </c>
      <c r="D48" s="4" t="s">
        <v>759</v>
      </c>
      <c r="E48" s="4">
        <v>506991835</v>
      </c>
      <c r="F48" s="4"/>
      <c r="G48" s="4"/>
      <c r="H48" s="6"/>
      <c r="I48" s="6"/>
      <c r="J48" s="10"/>
      <c r="K48" s="10"/>
      <c r="L48" s="4"/>
      <c r="M48" s="4"/>
    </row>
    <row r="49" spans="1:13" x14ac:dyDescent="0.25">
      <c r="A49" s="4">
        <v>49</v>
      </c>
      <c r="B49" s="4"/>
      <c r="C49" s="19" t="s">
        <v>397</v>
      </c>
      <c r="D49" s="4" t="s">
        <v>25</v>
      </c>
      <c r="E49" s="4">
        <v>565232359</v>
      </c>
      <c r="F49" s="4"/>
      <c r="G49" s="4"/>
      <c r="H49" s="6"/>
      <c r="I49" s="6"/>
      <c r="J49" s="10"/>
      <c r="K49" s="10"/>
      <c r="L49" s="4"/>
      <c r="M49" s="4"/>
    </row>
    <row r="50" spans="1:13" x14ac:dyDescent="0.25">
      <c r="A50" s="4">
        <v>50</v>
      </c>
      <c r="B50" s="4"/>
      <c r="C50" s="19" t="s">
        <v>398</v>
      </c>
      <c r="D50" s="4" t="s">
        <v>26</v>
      </c>
      <c r="E50" s="4">
        <v>565232359</v>
      </c>
      <c r="F50" s="4"/>
      <c r="G50" s="4"/>
      <c r="H50" s="6"/>
      <c r="I50" s="6"/>
      <c r="J50" s="10"/>
      <c r="K50" s="10"/>
      <c r="L50" s="4"/>
      <c r="M50" s="4"/>
    </row>
    <row r="51" spans="1:13" x14ac:dyDescent="0.25">
      <c r="A51" s="4">
        <v>51</v>
      </c>
      <c r="B51" s="4"/>
      <c r="C51" s="19" t="s">
        <v>399</v>
      </c>
      <c r="D51" s="4" t="s">
        <v>78</v>
      </c>
      <c r="E51" s="4"/>
      <c r="F51" s="4"/>
      <c r="G51" s="4"/>
      <c r="H51" s="6">
        <v>46353</v>
      </c>
      <c r="I51" s="6">
        <v>46488</v>
      </c>
      <c r="J51" s="10">
        <v>46404</v>
      </c>
      <c r="K51" s="10"/>
      <c r="L51" s="9" t="s">
        <v>79</v>
      </c>
      <c r="M51" s="9" t="s">
        <v>46</v>
      </c>
    </row>
    <row r="52" spans="1:13" x14ac:dyDescent="0.25">
      <c r="A52" s="4">
        <v>52</v>
      </c>
      <c r="B52" s="4"/>
      <c r="C52" s="19" t="s">
        <v>400</v>
      </c>
      <c r="D52" s="4" t="s">
        <v>731</v>
      </c>
      <c r="E52" s="4"/>
      <c r="F52" s="4"/>
      <c r="G52" s="4"/>
      <c r="H52" s="6"/>
      <c r="I52" s="6"/>
      <c r="J52" s="10"/>
      <c r="K52" s="10"/>
      <c r="L52" s="4"/>
      <c r="M52" s="4"/>
    </row>
    <row r="53" spans="1:13" x14ac:dyDescent="0.25">
      <c r="A53" s="4">
        <v>53</v>
      </c>
      <c r="B53" s="4"/>
      <c r="C53" s="19" t="s">
        <v>401</v>
      </c>
      <c r="D53" s="4" t="s">
        <v>31</v>
      </c>
      <c r="E53" s="4"/>
      <c r="F53" s="4"/>
      <c r="G53" s="4"/>
      <c r="H53" s="6"/>
      <c r="I53" s="6"/>
      <c r="J53" s="10"/>
      <c r="K53" s="10"/>
      <c r="L53" s="4"/>
      <c r="M53" s="4"/>
    </row>
    <row r="54" spans="1:13" x14ac:dyDescent="0.25">
      <c r="A54" s="4">
        <v>54</v>
      </c>
      <c r="B54" s="4"/>
      <c r="C54" s="19" t="s">
        <v>402</v>
      </c>
      <c r="D54" s="4" t="s">
        <v>32</v>
      </c>
      <c r="E54" s="4"/>
      <c r="F54" s="4"/>
      <c r="G54" s="4"/>
      <c r="H54" s="6"/>
      <c r="I54" s="6"/>
      <c r="J54" s="10"/>
      <c r="K54" s="10"/>
      <c r="L54" s="4"/>
      <c r="M54" s="4"/>
    </row>
    <row r="55" spans="1:13" x14ac:dyDescent="0.25">
      <c r="A55" s="4">
        <v>55</v>
      </c>
      <c r="B55" s="4"/>
      <c r="C55" s="19" t="s">
        <v>403</v>
      </c>
      <c r="D55" s="4" t="s">
        <v>80</v>
      </c>
      <c r="E55" s="4"/>
      <c r="F55" s="4"/>
      <c r="G55" s="4"/>
      <c r="H55" s="6">
        <v>46332</v>
      </c>
      <c r="I55" s="6">
        <v>46409</v>
      </c>
      <c r="J55" s="10">
        <v>46386</v>
      </c>
      <c r="K55" s="10"/>
      <c r="L55" s="9" t="s">
        <v>81</v>
      </c>
      <c r="M55" s="9" t="s">
        <v>46</v>
      </c>
    </row>
    <row r="56" spans="1:13" x14ac:dyDescent="0.25">
      <c r="A56" s="4">
        <v>56</v>
      </c>
      <c r="B56" s="4"/>
      <c r="C56" s="19" t="s">
        <v>404</v>
      </c>
      <c r="D56" s="4" t="s">
        <v>33</v>
      </c>
      <c r="E56" s="4"/>
      <c r="F56" s="4"/>
      <c r="G56" s="4"/>
      <c r="H56" s="6"/>
      <c r="I56" s="6"/>
      <c r="J56" s="10"/>
      <c r="K56" s="10"/>
      <c r="L56" s="4"/>
      <c r="M56" s="4"/>
    </row>
    <row r="57" spans="1:13" x14ac:dyDescent="0.25">
      <c r="A57" s="4">
        <v>57</v>
      </c>
      <c r="B57" s="4"/>
      <c r="C57" s="19" t="s">
        <v>405</v>
      </c>
      <c r="D57" s="4" t="s">
        <v>761</v>
      </c>
      <c r="E57" s="4"/>
      <c r="F57" s="4"/>
      <c r="G57" s="4"/>
      <c r="H57" s="6"/>
      <c r="I57" s="6"/>
      <c r="J57" s="10"/>
      <c r="K57" s="10"/>
      <c r="L57" s="4"/>
      <c r="M57" s="4"/>
    </row>
    <row r="58" spans="1:13" x14ac:dyDescent="0.25">
      <c r="A58" s="4">
        <v>58</v>
      </c>
      <c r="B58" s="4"/>
      <c r="C58" s="19" t="s">
        <v>406</v>
      </c>
      <c r="D58" s="4" t="s">
        <v>780</v>
      </c>
      <c r="E58" s="4"/>
      <c r="F58" s="4"/>
      <c r="G58" s="4"/>
      <c r="H58" s="6"/>
      <c r="I58" s="6"/>
      <c r="J58" s="10"/>
      <c r="K58" s="10"/>
      <c r="L58" s="4"/>
      <c r="M58" s="4"/>
    </row>
    <row r="59" spans="1:13" x14ac:dyDescent="0.25">
      <c r="A59" s="4">
        <v>59</v>
      </c>
      <c r="B59" s="4"/>
      <c r="C59" s="19" t="s">
        <v>407</v>
      </c>
      <c r="D59" s="4" t="s">
        <v>82</v>
      </c>
      <c r="E59" s="4"/>
      <c r="F59" s="4"/>
      <c r="G59" s="4"/>
      <c r="H59" s="6"/>
      <c r="I59" s="6"/>
      <c r="J59" s="10"/>
      <c r="K59" s="10"/>
      <c r="L59" s="4"/>
      <c r="M59" s="4"/>
    </row>
    <row r="60" spans="1:13" x14ac:dyDescent="0.25">
      <c r="A60" s="4">
        <v>60</v>
      </c>
      <c r="B60" s="4"/>
      <c r="C60" s="19" t="s">
        <v>408</v>
      </c>
      <c r="D60" s="17" t="s">
        <v>96</v>
      </c>
      <c r="E60" s="4">
        <v>582721000</v>
      </c>
      <c r="F60" s="4"/>
      <c r="G60" s="4"/>
      <c r="H60" s="6"/>
      <c r="I60" s="6"/>
      <c r="J60" s="10"/>
      <c r="K60" s="10"/>
      <c r="L60" s="4"/>
      <c r="M60" s="4"/>
    </row>
    <row r="61" spans="1:13" x14ac:dyDescent="0.25">
      <c r="A61" s="4">
        <v>61</v>
      </c>
      <c r="B61" s="4"/>
      <c r="C61" s="19" t="s">
        <v>409</v>
      </c>
      <c r="D61" s="17" t="s">
        <v>97</v>
      </c>
      <c r="E61" s="4">
        <v>582721000</v>
      </c>
      <c r="F61" s="4"/>
      <c r="G61" s="4"/>
      <c r="H61" s="6"/>
      <c r="I61" s="6"/>
      <c r="J61" s="10"/>
      <c r="K61" s="10"/>
      <c r="L61" s="4"/>
      <c r="M61" s="4"/>
    </row>
    <row r="62" spans="1:13" x14ac:dyDescent="0.25">
      <c r="A62" s="4">
        <v>62</v>
      </c>
      <c r="B62" s="4"/>
      <c r="C62" s="19" t="s">
        <v>410</v>
      </c>
      <c r="D62" s="17" t="s">
        <v>99</v>
      </c>
      <c r="E62" s="4"/>
      <c r="F62" s="4"/>
      <c r="G62" s="4"/>
      <c r="H62" s="6"/>
      <c r="I62" s="6"/>
      <c r="J62" s="10"/>
      <c r="K62" s="10"/>
      <c r="L62" s="4"/>
      <c r="M62" s="4"/>
    </row>
    <row r="63" spans="1:13" x14ac:dyDescent="0.25">
      <c r="A63" s="4">
        <v>63</v>
      </c>
      <c r="B63" s="4"/>
      <c r="C63" s="19" t="s">
        <v>411</v>
      </c>
      <c r="D63" s="17" t="s">
        <v>100</v>
      </c>
      <c r="E63" s="4"/>
      <c r="F63" s="4"/>
      <c r="G63" s="4"/>
      <c r="H63" s="6"/>
      <c r="I63" s="6"/>
      <c r="J63" s="10"/>
      <c r="K63" s="10"/>
      <c r="L63" s="4"/>
      <c r="M63" s="4"/>
    </row>
    <row r="64" spans="1:13" x14ac:dyDescent="0.25">
      <c r="A64" s="4">
        <v>64</v>
      </c>
      <c r="B64" s="4"/>
      <c r="C64" s="19" t="s">
        <v>412</v>
      </c>
      <c r="D64" s="17" t="s">
        <v>101</v>
      </c>
      <c r="E64" s="4"/>
      <c r="F64" s="4"/>
      <c r="G64" s="4"/>
      <c r="H64" s="6"/>
      <c r="I64" s="6"/>
      <c r="J64" s="10"/>
      <c r="K64" s="10"/>
      <c r="L64" s="4"/>
      <c r="M64" s="4"/>
    </row>
    <row r="65" spans="1:13" x14ac:dyDescent="0.25">
      <c r="A65" s="4">
        <v>65</v>
      </c>
      <c r="B65" s="4"/>
      <c r="C65" s="19" t="s">
        <v>413</v>
      </c>
      <c r="D65" s="17" t="s">
        <v>102</v>
      </c>
      <c r="E65" s="4"/>
      <c r="F65" s="4"/>
      <c r="G65" s="4"/>
      <c r="H65" s="6"/>
      <c r="I65" s="6"/>
      <c r="J65" s="10"/>
      <c r="K65" s="10"/>
      <c r="L65" s="4"/>
      <c r="M65" s="4"/>
    </row>
    <row r="66" spans="1:13" x14ac:dyDescent="0.25">
      <c r="A66" s="4">
        <v>66</v>
      </c>
      <c r="B66" s="4"/>
      <c r="C66" s="19" t="s">
        <v>414</v>
      </c>
      <c r="D66" s="17" t="s">
        <v>103</v>
      </c>
      <c r="E66" s="4"/>
      <c r="F66" s="4"/>
      <c r="G66" s="4"/>
      <c r="H66" s="6"/>
      <c r="I66" s="6"/>
      <c r="J66" s="10"/>
      <c r="K66" s="10"/>
      <c r="L66" s="4"/>
      <c r="M66" s="4"/>
    </row>
    <row r="67" spans="1:13" x14ac:dyDescent="0.25">
      <c r="A67" s="4">
        <v>67</v>
      </c>
      <c r="B67" s="4"/>
      <c r="C67" s="19" t="s">
        <v>415</v>
      </c>
      <c r="D67" s="17" t="s">
        <v>104</v>
      </c>
      <c r="E67" s="4"/>
      <c r="F67" s="4"/>
      <c r="G67" s="4"/>
      <c r="H67" s="6"/>
      <c r="I67" s="6"/>
      <c r="J67" s="10"/>
      <c r="K67" s="10"/>
      <c r="L67" s="4"/>
      <c r="M67" s="4"/>
    </row>
    <row r="68" spans="1:13" x14ac:dyDescent="0.25">
      <c r="A68" s="4">
        <v>68</v>
      </c>
      <c r="B68" s="4"/>
      <c r="C68" s="19" t="s">
        <v>416</v>
      </c>
      <c r="D68" s="17" t="s">
        <v>105</v>
      </c>
      <c r="E68" s="4"/>
      <c r="F68" s="4"/>
      <c r="G68" s="4"/>
      <c r="H68" s="6"/>
      <c r="I68" s="6"/>
      <c r="J68" s="10"/>
      <c r="K68" s="10"/>
      <c r="L68" s="4"/>
      <c r="M68" s="4"/>
    </row>
    <row r="69" spans="1:13" x14ac:dyDescent="0.25">
      <c r="A69" s="4">
        <v>69</v>
      </c>
      <c r="B69" s="4"/>
      <c r="C69" s="19" t="s">
        <v>417</v>
      </c>
      <c r="D69" s="17" t="s">
        <v>106</v>
      </c>
      <c r="E69" s="4"/>
      <c r="F69" s="4"/>
      <c r="G69" s="4"/>
      <c r="H69" s="6"/>
      <c r="I69" s="6"/>
      <c r="J69" s="10"/>
      <c r="K69" s="10"/>
      <c r="L69" s="4"/>
      <c r="M69" s="4"/>
    </row>
    <row r="70" spans="1:13" x14ac:dyDescent="0.25">
      <c r="A70" s="4">
        <v>70</v>
      </c>
      <c r="B70" s="4"/>
      <c r="C70" s="19" t="s">
        <v>418</v>
      </c>
      <c r="D70" s="17" t="s">
        <v>107</v>
      </c>
      <c r="E70" s="4"/>
      <c r="F70" s="4"/>
      <c r="G70" s="4"/>
      <c r="H70" s="6"/>
      <c r="I70" s="6"/>
      <c r="J70" s="10"/>
      <c r="K70" s="10"/>
      <c r="L70" s="4"/>
      <c r="M70" s="4"/>
    </row>
    <row r="71" spans="1:13" x14ac:dyDescent="0.25">
      <c r="A71" s="4">
        <v>71</v>
      </c>
      <c r="B71" s="4"/>
      <c r="C71" s="19" t="s">
        <v>419</v>
      </c>
      <c r="D71" s="17" t="s">
        <v>108</v>
      </c>
      <c r="E71" s="4"/>
      <c r="F71" s="4"/>
      <c r="G71" s="4"/>
      <c r="H71" s="6"/>
      <c r="I71" s="6"/>
      <c r="J71" s="10"/>
      <c r="K71" s="10"/>
      <c r="L71" s="4"/>
      <c r="M71" s="4"/>
    </row>
    <row r="72" spans="1:13" x14ac:dyDescent="0.25">
      <c r="A72" s="4">
        <v>72</v>
      </c>
      <c r="B72" s="4"/>
      <c r="C72" s="19" t="s">
        <v>420</v>
      </c>
      <c r="D72" s="17" t="s">
        <v>109</v>
      </c>
      <c r="E72" s="4"/>
      <c r="F72" s="4"/>
      <c r="G72" s="4"/>
      <c r="H72" s="6"/>
      <c r="I72" s="6"/>
      <c r="J72" s="10"/>
      <c r="K72" s="10"/>
      <c r="L72" s="4"/>
      <c r="M72" s="4"/>
    </row>
    <row r="73" spans="1:13" x14ac:dyDescent="0.25">
      <c r="A73" s="4">
        <v>73</v>
      </c>
      <c r="B73" s="4"/>
      <c r="C73" s="19" t="s">
        <v>421</v>
      </c>
      <c r="D73" s="17" t="s">
        <v>110</v>
      </c>
      <c r="E73" s="4"/>
      <c r="F73" s="4"/>
      <c r="G73" s="4"/>
      <c r="H73" s="6"/>
      <c r="I73" s="6"/>
      <c r="J73" s="10"/>
      <c r="K73" s="10"/>
      <c r="L73" s="4"/>
      <c r="M73" s="4"/>
    </row>
    <row r="74" spans="1:13" x14ac:dyDescent="0.25">
      <c r="A74" s="4">
        <v>74</v>
      </c>
      <c r="B74" s="4"/>
      <c r="C74" s="19" t="s">
        <v>422</v>
      </c>
      <c r="D74" s="17" t="s">
        <v>111</v>
      </c>
      <c r="E74" s="4"/>
      <c r="F74" s="4"/>
      <c r="G74" s="4"/>
      <c r="H74" s="6"/>
      <c r="I74" s="6"/>
      <c r="J74" s="10"/>
      <c r="K74" s="10"/>
      <c r="L74" s="4"/>
      <c r="M74" s="4"/>
    </row>
    <row r="75" spans="1:13" x14ac:dyDescent="0.25">
      <c r="A75" s="4">
        <v>75</v>
      </c>
      <c r="B75" s="4"/>
      <c r="C75" s="19" t="s">
        <v>423</v>
      </c>
      <c r="D75" s="17" t="s">
        <v>112</v>
      </c>
      <c r="E75" s="4"/>
      <c r="F75" s="4"/>
      <c r="G75" s="4"/>
      <c r="H75" s="6"/>
      <c r="I75" s="6"/>
      <c r="J75" s="10"/>
      <c r="K75" s="10"/>
      <c r="L75" s="4"/>
      <c r="M75" s="4"/>
    </row>
    <row r="76" spans="1:13" x14ac:dyDescent="0.25">
      <c r="A76" s="4">
        <v>76</v>
      </c>
      <c r="B76" s="4"/>
      <c r="C76" s="19" t="s">
        <v>424</v>
      </c>
      <c r="D76" s="17" t="s">
        <v>113</v>
      </c>
      <c r="E76" s="4"/>
      <c r="F76" s="4"/>
      <c r="G76" s="4"/>
      <c r="H76" s="18"/>
      <c r="I76" s="18"/>
      <c r="J76" s="10"/>
      <c r="K76" s="10"/>
      <c r="L76" s="4"/>
      <c r="M76" s="4"/>
    </row>
    <row r="77" spans="1:13" x14ac:dyDescent="0.25">
      <c r="A77" s="4">
        <v>77</v>
      </c>
      <c r="B77" s="4"/>
      <c r="C77" s="19" t="s">
        <v>425</v>
      </c>
      <c r="D77" s="17" t="s">
        <v>114</v>
      </c>
      <c r="E77" s="4"/>
      <c r="F77" s="4"/>
      <c r="G77" s="4"/>
      <c r="H77" s="18"/>
      <c r="I77" s="18"/>
      <c r="J77" s="10"/>
      <c r="K77" s="10"/>
      <c r="L77" s="4"/>
      <c r="M77" s="4"/>
    </row>
    <row r="78" spans="1:13" x14ac:dyDescent="0.25">
      <c r="A78" s="4">
        <v>78</v>
      </c>
      <c r="B78" s="4"/>
      <c r="C78" s="19" t="s">
        <v>426</v>
      </c>
      <c r="D78" s="17" t="s">
        <v>283</v>
      </c>
      <c r="E78" s="4"/>
      <c r="F78" s="4"/>
      <c r="G78" s="4"/>
      <c r="H78" s="18">
        <v>46150</v>
      </c>
      <c r="I78" s="18">
        <v>46516</v>
      </c>
      <c r="J78" s="18">
        <v>46371</v>
      </c>
      <c r="K78" s="18"/>
      <c r="L78" s="9" t="s">
        <v>282</v>
      </c>
      <c r="M78" s="9" t="s">
        <v>46</v>
      </c>
    </row>
    <row r="79" spans="1:13" x14ac:dyDescent="0.25">
      <c r="A79" s="4">
        <v>79</v>
      </c>
      <c r="B79" s="4"/>
      <c r="C79" s="19" t="s">
        <v>427</v>
      </c>
      <c r="D79" s="17" t="s">
        <v>115</v>
      </c>
      <c r="E79" s="4"/>
      <c r="F79" s="4"/>
      <c r="G79" s="4"/>
      <c r="H79" s="18"/>
      <c r="I79" s="18"/>
      <c r="J79" s="10"/>
      <c r="K79" s="10"/>
      <c r="L79" s="4"/>
      <c r="M79" s="4"/>
    </row>
    <row r="80" spans="1:13" x14ac:dyDescent="0.25">
      <c r="A80" s="4">
        <v>80</v>
      </c>
      <c r="B80" s="4"/>
      <c r="C80" s="19" t="s">
        <v>428</v>
      </c>
      <c r="D80" s="17" t="s">
        <v>116</v>
      </c>
      <c r="E80" s="4"/>
      <c r="F80" s="4"/>
      <c r="G80" s="4"/>
      <c r="H80" s="18"/>
      <c r="I80" s="18"/>
      <c r="J80" s="10"/>
      <c r="K80" s="10"/>
      <c r="L80" s="4"/>
      <c r="M80" s="4"/>
    </row>
    <row r="81" spans="1:13" x14ac:dyDescent="0.25">
      <c r="A81" s="4">
        <v>81</v>
      </c>
      <c r="B81" s="4"/>
      <c r="C81" s="19" t="s">
        <v>429</v>
      </c>
      <c r="D81" s="17" t="s">
        <v>905</v>
      </c>
      <c r="E81" s="4"/>
      <c r="F81" s="4"/>
      <c r="G81" s="4"/>
      <c r="H81" s="18"/>
      <c r="I81" s="18"/>
      <c r="J81" s="10"/>
      <c r="K81" s="10"/>
      <c r="L81" s="4"/>
      <c r="M81" s="4"/>
    </row>
    <row r="82" spans="1:13" x14ac:dyDescent="0.25">
      <c r="A82" s="4">
        <v>82</v>
      </c>
      <c r="B82" s="4"/>
      <c r="C82" s="19" t="s">
        <v>430</v>
      </c>
      <c r="D82" s="17" t="s">
        <v>117</v>
      </c>
      <c r="E82" s="4"/>
      <c r="F82" s="4"/>
      <c r="G82" s="4"/>
      <c r="H82" s="18"/>
      <c r="I82" s="18"/>
      <c r="J82" s="10"/>
      <c r="K82" s="10"/>
      <c r="L82" s="4"/>
      <c r="M82" s="4"/>
    </row>
    <row r="83" spans="1:13" x14ac:dyDescent="0.25">
      <c r="A83" s="4">
        <v>83</v>
      </c>
      <c r="B83" s="4"/>
      <c r="C83" s="19" t="s">
        <v>431</v>
      </c>
      <c r="D83" s="17" t="s">
        <v>118</v>
      </c>
      <c r="E83" s="4"/>
      <c r="F83" s="4"/>
      <c r="G83" s="4"/>
      <c r="H83" s="18"/>
      <c r="I83" s="18"/>
      <c r="J83" s="10"/>
      <c r="K83" s="10"/>
      <c r="L83" s="4"/>
      <c r="M83" s="4"/>
    </row>
    <row r="84" spans="1:13" x14ac:dyDescent="0.25">
      <c r="A84" s="4">
        <v>84</v>
      </c>
      <c r="B84" s="4"/>
      <c r="C84" s="19" t="s">
        <v>432</v>
      </c>
      <c r="D84" s="17" t="s">
        <v>119</v>
      </c>
      <c r="E84" s="4"/>
      <c r="F84" s="4"/>
      <c r="G84" s="4"/>
      <c r="H84" s="18"/>
      <c r="I84" s="18"/>
      <c r="J84" s="10"/>
      <c r="K84" s="10"/>
      <c r="L84" s="4"/>
      <c r="M84" s="4"/>
    </row>
    <row r="85" spans="1:13" x14ac:dyDescent="0.25">
      <c r="A85" s="4">
        <v>85</v>
      </c>
      <c r="B85" s="4"/>
      <c r="C85" s="19" t="s">
        <v>433</v>
      </c>
      <c r="D85" s="17" t="s">
        <v>912</v>
      </c>
      <c r="E85" s="4"/>
      <c r="F85" s="4"/>
      <c r="G85" s="4"/>
      <c r="H85" s="18"/>
      <c r="I85" s="18"/>
      <c r="J85" s="10"/>
      <c r="K85" s="10"/>
      <c r="L85" s="4"/>
      <c r="M85" s="4"/>
    </row>
    <row r="86" spans="1:13" x14ac:dyDescent="0.25">
      <c r="A86" s="4">
        <v>86</v>
      </c>
      <c r="B86" s="4"/>
      <c r="C86" s="19" t="s">
        <v>434</v>
      </c>
      <c r="D86" s="17" t="s">
        <v>120</v>
      </c>
      <c r="E86" s="4"/>
      <c r="F86" s="4"/>
      <c r="G86" s="4"/>
      <c r="H86" s="18"/>
      <c r="I86" s="18"/>
      <c r="J86" s="10"/>
      <c r="K86" s="10"/>
      <c r="L86" s="4"/>
      <c r="M86" s="4"/>
    </row>
    <row r="87" spans="1:13" x14ac:dyDescent="0.25">
      <c r="A87" s="4">
        <v>87</v>
      </c>
      <c r="B87" s="4"/>
      <c r="C87" s="19" t="s">
        <v>435</v>
      </c>
      <c r="D87" s="17" t="s">
        <v>948</v>
      </c>
      <c r="E87" s="4"/>
      <c r="F87" s="4"/>
      <c r="G87" s="4"/>
      <c r="H87" s="18"/>
      <c r="I87" s="18"/>
      <c r="J87" s="10"/>
      <c r="K87" s="10"/>
      <c r="L87" s="4"/>
      <c r="M87" s="4"/>
    </row>
    <row r="88" spans="1:13" x14ac:dyDescent="0.25">
      <c r="A88" s="4">
        <v>88</v>
      </c>
      <c r="B88" s="4"/>
      <c r="C88" s="19" t="s">
        <v>436</v>
      </c>
      <c r="D88" s="17" t="s">
        <v>121</v>
      </c>
      <c r="E88" s="4"/>
      <c r="F88" s="4"/>
      <c r="G88" s="4"/>
      <c r="H88" s="18"/>
      <c r="I88" s="18"/>
      <c r="J88" s="10"/>
      <c r="K88" s="10"/>
      <c r="L88" s="4"/>
      <c r="M88" s="4"/>
    </row>
    <row r="89" spans="1:13" x14ac:dyDescent="0.25">
      <c r="A89" s="4">
        <v>89</v>
      </c>
      <c r="B89" s="4"/>
      <c r="C89" s="19" t="s">
        <v>437</v>
      </c>
      <c r="D89" s="17" t="s">
        <v>122</v>
      </c>
      <c r="E89" s="4"/>
      <c r="F89" s="4"/>
      <c r="G89" s="4"/>
      <c r="H89" s="18"/>
      <c r="I89" s="18"/>
      <c r="J89" s="10"/>
      <c r="K89" s="10"/>
      <c r="L89" s="4"/>
      <c r="M89" s="4"/>
    </row>
    <row r="90" spans="1:13" x14ac:dyDescent="0.25">
      <c r="A90" s="4">
        <v>90</v>
      </c>
      <c r="B90" s="4"/>
      <c r="C90" s="19" t="s">
        <v>438</v>
      </c>
      <c r="D90" s="17" t="s">
        <v>123</v>
      </c>
      <c r="E90" s="4"/>
      <c r="F90" s="4"/>
      <c r="G90" s="4"/>
      <c r="H90" s="18"/>
      <c r="I90" s="18"/>
      <c r="J90" s="10"/>
      <c r="K90" s="10"/>
      <c r="L90" s="4"/>
      <c r="M90" s="4"/>
    </row>
    <row r="91" spans="1:13" x14ac:dyDescent="0.25">
      <c r="A91" s="4">
        <v>91</v>
      </c>
      <c r="B91" s="4"/>
      <c r="C91" s="19" t="s">
        <v>439</v>
      </c>
      <c r="D91" s="17" t="s">
        <v>124</v>
      </c>
      <c r="E91" s="4"/>
      <c r="F91" s="4"/>
      <c r="G91" s="4"/>
      <c r="H91" s="18"/>
      <c r="I91" s="18"/>
      <c r="J91" s="10"/>
      <c r="K91" s="10"/>
      <c r="L91" s="4"/>
      <c r="M91" s="4"/>
    </row>
    <row r="92" spans="1:13" x14ac:dyDescent="0.25">
      <c r="A92" s="4">
        <v>92</v>
      </c>
      <c r="B92" s="4"/>
      <c r="C92" s="19" t="s">
        <v>440</v>
      </c>
      <c r="D92" s="17" t="s">
        <v>125</v>
      </c>
      <c r="E92" s="4"/>
      <c r="F92" s="4"/>
      <c r="G92" s="4"/>
      <c r="H92" s="18"/>
      <c r="I92" s="18"/>
      <c r="J92" s="10"/>
      <c r="K92" s="10"/>
      <c r="L92" s="4"/>
      <c r="M92" s="4"/>
    </row>
    <row r="93" spans="1:13" x14ac:dyDescent="0.25">
      <c r="A93" s="4">
        <v>93</v>
      </c>
      <c r="B93" s="4"/>
      <c r="C93" s="19" t="s">
        <v>441</v>
      </c>
      <c r="D93" s="17" t="s">
        <v>126</v>
      </c>
      <c r="E93" s="4"/>
      <c r="F93" s="4"/>
      <c r="G93" s="4"/>
      <c r="H93" s="18"/>
      <c r="I93" s="18"/>
      <c r="J93" s="10"/>
      <c r="K93" s="10"/>
      <c r="L93" s="4"/>
      <c r="M93" s="4"/>
    </row>
    <row r="94" spans="1:13" x14ac:dyDescent="0.25">
      <c r="A94" s="4">
        <v>94</v>
      </c>
      <c r="B94" s="4"/>
      <c r="C94" s="19" t="s">
        <v>442</v>
      </c>
      <c r="D94" s="17" t="s">
        <v>127</v>
      </c>
      <c r="E94" s="4"/>
      <c r="F94" s="4"/>
      <c r="G94" s="4"/>
      <c r="H94" s="18"/>
      <c r="I94" s="18"/>
      <c r="J94" s="10"/>
      <c r="K94" s="10"/>
      <c r="L94" s="4"/>
      <c r="M94" s="4"/>
    </row>
    <row r="95" spans="1:13" x14ac:dyDescent="0.25">
      <c r="A95" s="4">
        <v>95</v>
      </c>
      <c r="B95" s="4"/>
      <c r="C95" s="19" t="s">
        <v>443</v>
      </c>
      <c r="D95" s="17" t="s">
        <v>128</v>
      </c>
      <c r="E95" s="4"/>
      <c r="F95" s="4"/>
      <c r="G95" s="4"/>
      <c r="H95" s="18"/>
      <c r="I95" s="18"/>
      <c r="J95" s="10"/>
      <c r="K95" s="10"/>
      <c r="L95" s="4"/>
      <c r="M95" s="4"/>
    </row>
    <row r="96" spans="1:13" x14ac:dyDescent="0.25">
      <c r="A96" s="4">
        <v>96</v>
      </c>
      <c r="B96" s="4"/>
      <c r="C96" s="19" t="s">
        <v>444</v>
      </c>
      <c r="D96" s="17" t="s">
        <v>129</v>
      </c>
      <c r="E96" s="4"/>
      <c r="F96" s="4"/>
      <c r="G96" s="4"/>
      <c r="H96" s="18"/>
      <c r="I96" s="18"/>
      <c r="J96" s="10"/>
      <c r="K96" s="10"/>
      <c r="L96" s="4"/>
      <c r="M96" s="4"/>
    </row>
    <row r="97" spans="1:13" x14ac:dyDescent="0.25">
      <c r="A97" s="4">
        <v>97</v>
      </c>
      <c r="B97" s="4"/>
      <c r="C97" s="19" t="s">
        <v>445</v>
      </c>
      <c r="D97" s="17" t="s">
        <v>130</v>
      </c>
      <c r="E97" s="4"/>
      <c r="F97" s="4"/>
      <c r="G97" s="4"/>
      <c r="H97" s="18"/>
      <c r="I97" s="18"/>
      <c r="J97" s="10"/>
      <c r="K97" s="10"/>
      <c r="L97" s="4"/>
      <c r="M97" s="4"/>
    </row>
    <row r="98" spans="1:13" x14ac:dyDescent="0.25">
      <c r="A98" s="4">
        <v>98</v>
      </c>
      <c r="B98" s="4"/>
      <c r="C98" s="19" t="s">
        <v>446</v>
      </c>
      <c r="D98" s="17" t="s">
        <v>131</v>
      </c>
      <c r="E98" s="4"/>
      <c r="F98" s="4"/>
      <c r="G98" s="4"/>
      <c r="H98" s="18"/>
      <c r="I98" s="18"/>
      <c r="J98" s="10"/>
      <c r="K98" s="10"/>
      <c r="L98" s="4"/>
      <c r="M98" s="4"/>
    </row>
    <row r="99" spans="1:13" x14ac:dyDescent="0.25">
      <c r="A99" s="4">
        <v>99</v>
      </c>
      <c r="B99" s="4"/>
      <c r="C99" s="19" t="s">
        <v>447</v>
      </c>
      <c r="D99" s="17" t="s">
        <v>132</v>
      </c>
      <c r="E99" s="4"/>
      <c r="F99" s="4"/>
      <c r="G99" s="4"/>
      <c r="H99" s="18"/>
      <c r="I99" s="18"/>
      <c r="J99" s="10"/>
      <c r="K99" s="10"/>
      <c r="L99" s="4"/>
      <c r="M99" s="4"/>
    </row>
    <row r="100" spans="1:13" x14ac:dyDescent="0.25">
      <c r="A100" s="4">
        <v>100</v>
      </c>
      <c r="B100" s="4"/>
      <c r="C100" s="19" t="s">
        <v>448</v>
      </c>
      <c r="D100" s="17" t="s">
        <v>133</v>
      </c>
      <c r="E100" s="4"/>
      <c r="F100" s="4"/>
      <c r="G100" s="4"/>
      <c r="H100" s="18"/>
      <c r="I100" s="18"/>
      <c r="J100" s="10"/>
      <c r="K100" s="10"/>
      <c r="L100" s="4"/>
      <c r="M100" s="4"/>
    </row>
    <row r="101" spans="1:13" x14ac:dyDescent="0.25">
      <c r="A101" s="4">
        <v>101</v>
      </c>
      <c r="B101" s="4"/>
      <c r="C101" s="19" t="s">
        <v>449</v>
      </c>
      <c r="D101" s="17" t="s">
        <v>134</v>
      </c>
      <c r="E101" s="4"/>
      <c r="F101" s="4"/>
      <c r="G101" s="4"/>
      <c r="H101" s="18"/>
      <c r="I101" s="18"/>
      <c r="J101" s="10"/>
      <c r="K101" s="10"/>
      <c r="L101" s="4"/>
      <c r="M101" s="4"/>
    </row>
    <row r="102" spans="1:13" x14ac:dyDescent="0.25">
      <c r="A102" s="4">
        <v>102</v>
      </c>
      <c r="B102" s="4"/>
      <c r="C102" s="19" t="s">
        <v>450</v>
      </c>
      <c r="D102" s="17" t="s">
        <v>135</v>
      </c>
      <c r="E102" s="4"/>
      <c r="F102" s="4"/>
      <c r="G102" s="4"/>
      <c r="H102" s="18"/>
      <c r="I102" s="18"/>
      <c r="J102" s="10"/>
      <c r="K102" s="10"/>
      <c r="L102" s="4"/>
      <c r="M102" s="4"/>
    </row>
    <row r="103" spans="1:13" x14ac:dyDescent="0.25">
      <c r="A103" s="4">
        <v>103</v>
      </c>
      <c r="B103" s="4"/>
      <c r="C103" s="19" t="s">
        <v>451</v>
      </c>
      <c r="D103" s="17" t="s">
        <v>136</v>
      </c>
      <c r="E103" s="4"/>
      <c r="F103" s="4"/>
      <c r="G103" s="4"/>
      <c r="H103" s="18"/>
      <c r="I103" s="18"/>
      <c r="J103" s="10"/>
      <c r="K103" s="10"/>
      <c r="L103" s="4"/>
      <c r="M103" s="4"/>
    </row>
    <row r="104" spans="1:13" x14ac:dyDescent="0.25">
      <c r="A104" s="4">
        <v>104</v>
      </c>
      <c r="B104" s="4"/>
      <c r="C104" s="19" t="s">
        <v>452</v>
      </c>
      <c r="D104" s="17" t="s">
        <v>137</v>
      </c>
      <c r="E104" s="4"/>
      <c r="F104" s="4"/>
      <c r="G104" s="4"/>
      <c r="H104" s="18"/>
      <c r="I104" s="18"/>
      <c r="J104" s="10"/>
      <c r="K104" s="10"/>
      <c r="L104" s="4"/>
      <c r="M104" s="4"/>
    </row>
    <row r="105" spans="1:13" x14ac:dyDescent="0.25">
      <c r="A105" s="4">
        <v>105</v>
      </c>
      <c r="B105" s="4"/>
      <c r="C105" s="19" t="s">
        <v>453</v>
      </c>
      <c r="D105" s="17" t="s">
        <v>138</v>
      </c>
      <c r="E105" s="4"/>
      <c r="F105" s="4"/>
      <c r="G105" s="4"/>
      <c r="H105" s="18"/>
      <c r="I105" s="18"/>
      <c r="J105" s="10"/>
      <c r="K105" s="10"/>
      <c r="L105" s="4"/>
      <c r="M105" s="4"/>
    </row>
    <row r="106" spans="1:13" x14ac:dyDescent="0.25">
      <c r="A106" s="4">
        <v>106</v>
      </c>
      <c r="B106" s="4"/>
      <c r="C106" s="19" t="s">
        <v>454</v>
      </c>
      <c r="D106" s="17" t="s">
        <v>139</v>
      </c>
      <c r="E106" s="4"/>
      <c r="F106" s="4"/>
      <c r="G106" s="4"/>
      <c r="H106" s="18"/>
      <c r="I106" s="18"/>
      <c r="J106" s="10"/>
      <c r="K106" s="10"/>
      <c r="L106" s="4"/>
      <c r="M106" s="4"/>
    </row>
    <row r="107" spans="1:13" x14ac:dyDescent="0.25">
      <c r="A107" s="4">
        <v>107</v>
      </c>
      <c r="B107" s="4"/>
      <c r="C107" s="19" t="s">
        <v>455</v>
      </c>
      <c r="D107" s="17" t="s">
        <v>140</v>
      </c>
      <c r="E107" s="4"/>
      <c r="F107" s="4"/>
      <c r="G107" s="4"/>
      <c r="H107" s="18"/>
      <c r="I107" s="18"/>
      <c r="J107" s="10"/>
      <c r="K107" s="10"/>
      <c r="L107" s="4"/>
      <c r="M107" s="4"/>
    </row>
    <row r="108" spans="1:13" x14ac:dyDescent="0.25">
      <c r="A108" s="4">
        <v>108</v>
      </c>
      <c r="B108" s="4"/>
      <c r="C108" s="19" t="s">
        <v>456</v>
      </c>
      <c r="D108" s="17" t="s">
        <v>141</v>
      </c>
      <c r="E108" s="4"/>
      <c r="F108" s="4"/>
      <c r="G108" s="4"/>
      <c r="H108" s="18"/>
      <c r="I108" s="18"/>
      <c r="J108" s="10"/>
      <c r="K108" s="10"/>
      <c r="L108" s="4"/>
      <c r="M108" s="4"/>
    </row>
    <row r="109" spans="1:13" x14ac:dyDescent="0.25">
      <c r="A109" s="4">
        <v>109</v>
      </c>
      <c r="B109" s="4"/>
      <c r="C109" s="19" t="s">
        <v>457</v>
      </c>
      <c r="D109" s="17" t="s">
        <v>142</v>
      </c>
      <c r="E109" s="4"/>
      <c r="F109" s="4"/>
      <c r="G109" s="4"/>
      <c r="H109" s="18"/>
      <c r="I109" s="18"/>
      <c r="J109" s="10"/>
      <c r="K109" s="10"/>
      <c r="L109" s="4"/>
      <c r="M109" s="4"/>
    </row>
    <row r="110" spans="1:13" x14ac:dyDescent="0.25">
      <c r="A110" s="4">
        <v>110</v>
      </c>
      <c r="B110" s="4"/>
      <c r="C110" s="19" t="s">
        <v>458</v>
      </c>
      <c r="D110" s="17" t="s">
        <v>143</v>
      </c>
      <c r="E110" s="4"/>
      <c r="F110" s="4"/>
      <c r="G110" s="4"/>
      <c r="H110" s="18"/>
      <c r="I110" s="18"/>
      <c r="J110" s="10"/>
      <c r="K110" s="10"/>
      <c r="L110" s="4"/>
      <c r="M110" s="4"/>
    </row>
    <row r="111" spans="1:13" x14ac:dyDescent="0.25">
      <c r="A111" s="4">
        <v>111</v>
      </c>
      <c r="B111" s="4"/>
      <c r="C111" s="19" t="s">
        <v>459</v>
      </c>
      <c r="D111" s="17" t="s">
        <v>144</v>
      </c>
      <c r="E111" s="4"/>
      <c r="F111" s="4"/>
      <c r="G111" s="4"/>
      <c r="H111" s="18"/>
      <c r="I111" s="18"/>
      <c r="J111" s="10"/>
      <c r="K111" s="10"/>
      <c r="L111" s="4"/>
      <c r="M111" s="4"/>
    </row>
    <row r="112" spans="1:13" x14ac:dyDescent="0.25">
      <c r="A112" s="4">
        <v>112</v>
      </c>
      <c r="B112" s="4"/>
      <c r="C112" s="19" t="s">
        <v>460</v>
      </c>
      <c r="D112" s="17" t="s">
        <v>145</v>
      </c>
      <c r="E112" s="4"/>
      <c r="F112" s="4"/>
      <c r="G112" s="4"/>
      <c r="H112" s="18"/>
      <c r="I112" s="18"/>
      <c r="J112" s="10"/>
      <c r="K112" s="10"/>
      <c r="L112" s="4"/>
      <c r="M112" s="4"/>
    </row>
    <row r="113" spans="1:13" x14ac:dyDescent="0.25">
      <c r="A113" s="4">
        <v>113</v>
      </c>
      <c r="B113" s="4"/>
      <c r="C113" s="19" t="s">
        <v>461</v>
      </c>
      <c r="D113" s="17" t="s">
        <v>146</v>
      </c>
      <c r="E113" s="4"/>
      <c r="F113" s="4"/>
      <c r="G113" s="4"/>
      <c r="H113" s="18"/>
      <c r="I113" s="18"/>
      <c r="J113" s="10"/>
      <c r="K113" s="10"/>
      <c r="L113" s="4"/>
      <c r="M113" s="4"/>
    </row>
    <row r="114" spans="1:13" x14ac:dyDescent="0.25">
      <c r="A114" s="4">
        <v>114</v>
      </c>
      <c r="B114" s="4"/>
      <c r="C114" s="19" t="s">
        <v>462</v>
      </c>
      <c r="D114" s="17" t="s">
        <v>147</v>
      </c>
      <c r="E114" s="4"/>
      <c r="F114" s="4"/>
      <c r="G114" s="4"/>
      <c r="H114" s="18"/>
      <c r="I114" s="18"/>
      <c r="J114" s="10"/>
      <c r="K114" s="10"/>
      <c r="L114" s="4"/>
      <c r="M114" s="4"/>
    </row>
    <row r="115" spans="1:13" x14ac:dyDescent="0.25">
      <c r="A115" s="4">
        <v>115</v>
      </c>
      <c r="B115" s="4"/>
      <c r="C115" s="19" t="s">
        <v>463</v>
      </c>
      <c r="D115" s="17" t="s">
        <v>148</v>
      </c>
      <c r="E115" s="4" t="s">
        <v>149</v>
      </c>
      <c r="F115" s="4"/>
      <c r="G115" s="4"/>
      <c r="H115" s="18"/>
      <c r="I115" s="18"/>
      <c r="J115" s="10"/>
      <c r="K115" s="10"/>
      <c r="L115" s="4"/>
      <c r="M115" s="4"/>
    </row>
    <row r="116" spans="1:13" x14ac:dyDescent="0.25">
      <c r="A116" s="4">
        <v>116</v>
      </c>
      <c r="B116" s="4"/>
      <c r="C116" s="19" t="s">
        <v>464</v>
      </c>
      <c r="D116" s="17" t="s">
        <v>150</v>
      </c>
      <c r="E116" s="4"/>
      <c r="F116" s="4"/>
      <c r="G116" s="4"/>
      <c r="H116" s="18"/>
      <c r="I116" s="18"/>
      <c r="J116" s="10"/>
      <c r="K116" s="10"/>
      <c r="L116" s="4"/>
      <c r="M116" s="4"/>
    </row>
    <row r="117" spans="1:13" x14ac:dyDescent="0.25">
      <c r="A117" s="4">
        <v>117</v>
      </c>
      <c r="B117" s="4"/>
      <c r="C117" s="19" t="s">
        <v>465</v>
      </c>
      <c r="D117" s="17" t="s">
        <v>151</v>
      </c>
      <c r="E117" s="4"/>
      <c r="F117" s="4"/>
      <c r="G117" s="4"/>
      <c r="H117" s="18"/>
      <c r="I117" s="18"/>
      <c r="J117" s="10"/>
      <c r="K117" s="10"/>
      <c r="L117" s="4"/>
      <c r="M117" s="4"/>
    </row>
    <row r="118" spans="1:13" x14ac:dyDescent="0.25">
      <c r="A118" s="4">
        <v>118</v>
      </c>
      <c r="B118" s="4"/>
      <c r="C118" s="19" t="s">
        <v>466</v>
      </c>
      <c r="D118" s="17" t="s">
        <v>152</v>
      </c>
      <c r="E118" s="4"/>
      <c r="F118" s="4"/>
      <c r="G118" s="4"/>
      <c r="H118" s="18"/>
      <c r="I118" s="18"/>
      <c r="J118" s="10"/>
      <c r="K118" s="10"/>
      <c r="L118" s="4"/>
      <c r="M118" s="4"/>
    </row>
    <row r="119" spans="1:13" x14ac:dyDescent="0.25">
      <c r="A119" s="4">
        <v>119</v>
      </c>
      <c r="B119" s="4"/>
      <c r="C119" s="19" t="s">
        <v>467</v>
      </c>
      <c r="D119" s="17" t="s">
        <v>153</v>
      </c>
      <c r="E119" s="4"/>
      <c r="F119" s="4"/>
      <c r="G119" s="4"/>
      <c r="H119" s="18"/>
      <c r="I119" s="18"/>
      <c r="J119" s="10"/>
      <c r="K119" s="10"/>
      <c r="L119" s="4"/>
      <c r="M119" s="4"/>
    </row>
    <row r="120" spans="1:13" x14ac:dyDescent="0.25">
      <c r="A120" s="4">
        <v>120</v>
      </c>
      <c r="B120" s="4"/>
      <c r="C120" s="19" t="s">
        <v>468</v>
      </c>
      <c r="D120" s="17" t="s">
        <v>154</v>
      </c>
      <c r="E120" s="4"/>
      <c r="F120" s="4"/>
      <c r="G120" s="4"/>
      <c r="H120" s="18"/>
      <c r="I120" s="18"/>
      <c r="J120" s="10"/>
      <c r="K120" s="10"/>
      <c r="L120" s="4"/>
      <c r="M120" s="4"/>
    </row>
    <row r="121" spans="1:13" x14ac:dyDescent="0.25">
      <c r="A121" s="4">
        <v>121</v>
      </c>
      <c r="B121" s="4"/>
      <c r="C121" s="19" t="s">
        <v>469</v>
      </c>
      <c r="D121" s="17" t="s">
        <v>155</v>
      </c>
      <c r="E121" s="4"/>
      <c r="F121" s="4"/>
      <c r="G121" s="4"/>
      <c r="H121" s="18"/>
      <c r="I121" s="18"/>
      <c r="J121" s="10"/>
      <c r="K121" s="10"/>
      <c r="L121" s="4"/>
      <c r="M121" s="4"/>
    </row>
    <row r="122" spans="1:13" x14ac:dyDescent="0.25">
      <c r="A122" s="4">
        <v>122</v>
      </c>
      <c r="B122" s="4"/>
      <c r="C122" s="19" t="s">
        <v>470</v>
      </c>
      <c r="D122" s="17" t="s">
        <v>772</v>
      </c>
      <c r="E122" s="4"/>
      <c r="F122" s="4"/>
      <c r="G122" s="4"/>
      <c r="H122" s="18"/>
      <c r="I122" s="18"/>
      <c r="J122" s="10"/>
      <c r="K122" s="10"/>
      <c r="L122" s="4"/>
      <c r="M122" s="4"/>
    </row>
    <row r="123" spans="1:13" x14ac:dyDescent="0.25">
      <c r="A123" s="4">
        <v>123</v>
      </c>
      <c r="B123" s="4"/>
      <c r="C123" s="19" t="s">
        <v>471</v>
      </c>
      <c r="D123" s="17" t="s">
        <v>156</v>
      </c>
      <c r="E123" s="4"/>
      <c r="F123" s="4"/>
      <c r="G123" s="4"/>
      <c r="H123" s="18"/>
      <c r="I123" s="18"/>
      <c r="J123" s="10"/>
      <c r="K123" s="10"/>
      <c r="L123" s="4"/>
      <c r="M123" s="4"/>
    </row>
    <row r="124" spans="1:13" x14ac:dyDescent="0.25">
      <c r="A124" s="4">
        <v>124</v>
      </c>
      <c r="B124" s="4"/>
      <c r="C124" s="19" t="s">
        <v>472</v>
      </c>
      <c r="D124" s="17" t="s">
        <v>157</v>
      </c>
      <c r="E124" s="4"/>
      <c r="F124" s="4"/>
      <c r="G124" s="4"/>
      <c r="H124" s="18"/>
      <c r="I124" s="18"/>
      <c r="J124" s="10"/>
      <c r="K124" s="10"/>
      <c r="L124" s="4"/>
      <c r="M124" s="4"/>
    </row>
    <row r="125" spans="1:13" x14ac:dyDescent="0.25">
      <c r="A125" s="4">
        <v>125</v>
      </c>
      <c r="B125" s="4"/>
      <c r="C125" s="19" t="s">
        <v>473</v>
      </c>
      <c r="D125" s="17" t="s">
        <v>158</v>
      </c>
      <c r="E125" s="4"/>
      <c r="F125" s="4"/>
      <c r="G125" s="4"/>
      <c r="H125" s="18"/>
      <c r="I125" s="18"/>
      <c r="J125" s="10"/>
      <c r="K125" s="10"/>
      <c r="L125" s="4"/>
      <c r="M125" s="4"/>
    </row>
    <row r="126" spans="1:13" x14ac:dyDescent="0.25">
      <c r="A126" s="4">
        <v>126</v>
      </c>
      <c r="B126" s="4"/>
      <c r="C126" s="19" t="s">
        <v>474</v>
      </c>
      <c r="D126" s="17" t="s">
        <v>159</v>
      </c>
      <c r="E126" s="4"/>
      <c r="F126" s="4"/>
      <c r="G126" s="4"/>
      <c r="H126" s="18"/>
      <c r="I126" s="18"/>
      <c r="J126" s="10"/>
      <c r="K126" s="10"/>
      <c r="L126" s="4"/>
      <c r="M126" s="4"/>
    </row>
    <row r="127" spans="1:13" x14ac:dyDescent="0.25">
      <c r="A127" s="4">
        <v>127</v>
      </c>
      <c r="B127" s="4"/>
      <c r="C127" s="19" t="s">
        <v>475</v>
      </c>
      <c r="D127" s="17" t="s">
        <v>160</v>
      </c>
      <c r="E127" s="4"/>
      <c r="F127" s="4"/>
      <c r="G127" s="4"/>
      <c r="H127" s="18"/>
      <c r="I127" s="18"/>
      <c r="J127" s="10"/>
      <c r="K127" s="10"/>
      <c r="L127" s="4"/>
      <c r="M127" s="4"/>
    </row>
    <row r="128" spans="1:13" x14ac:dyDescent="0.25">
      <c r="A128" s="4">
        <v>128</v>
      </c>
      <c r="B128" s="4"/>
      <c r="C128" s="19" t="s">
        <v>476</v>
      </c>
      <c r="D128" s="17" t="s">
        <v>161</v>
      </c>
      <c r="E128" s="4"/>
      <c r="F128" s="4"/>
      <c r="G128" s="4"/>
      <c r="H128" s="18"/>
      <c r="I128" s="18"/>
      <c r="J128" s="10"/>
      <c r="K128" s="10"/>
      <c r="L128" s="4"/>
      <c r="M128" s="4"/>
    </row>
    <row r="129" spans="1:13" x14ac:dyDescent="0.25">
      <c r="A129" s="4">
        <v>129</v>
      </c>
      <c r="B129" s="4"/>
      <c r="C129" s="19" t="s">
        <v>477</v>
      </c>
      <c r="D129" s="17" t="s">
        <v>162</v>
      </c>
      <c r="E129" s="4"/>
      <c r="F129" s="4"/>
      <c r="G129" s="4"/>
      <c r="H129" s="18"/>
      <c r="I129" s="18"/>
      <c r="J129" s="10"/>
      <c r="K129" s="10"/>
      <c r="L129" s="4"/>
      <c r="M129" s="4"/>
    </row>
    <row r="130" spans="1:13" x14ac:dyDescent="0.25">
      <c r="A130" s="4">
        <v>130</v>
      </c>
      <c r="B130" s="4"/>
      <c r="C130" s="19" t="s">
        <v>478</v>
      </c>
      <c r="D130" s="17" t="s">
        <v>163</v>
      </c>
      <c r="E130" s="4"/>
      <c r="F130" s="4"/>
      <c r="G130" s="4"/>
      <c r="H130" s="18"/>
      <c r="I130" s="18"/>
      <c r="J130" s="10"/>
      <c r="K130" s="10"/>
      <c r="L130" s="4"/>
      <c r="M130" s="4"/>
    </row>
    <row r="131" spans="1:13" x14ac:dyDescent="0.25">
      <c r="A131" s="4">
        <v>131</v>
      </c>
      <c r="B131" s="4"/>
      <c r="C131" s="19" t="s">
        <v>479</v>
      </c>
      <c r="D131" s="17" t="s">
        <v>164</v>
      </c>
      <c r="E131" s="4"/>
      <c r="F131" s="4"/>
      <c r="G131" s="4"/>
      <c r="H131" s="18"/>
      <c r="I131" s="18"/>
      <c r="J131" s="10"/>
      <c r="K131" s="10"/>
      <c r="L131" s="4"/>
      <c r="M131" s="4"/>
    </row>
    <row r="132" spans="1:13" x14ac:dyDescent="0.25">
      <c r="A132" s="4">
        <v>132</v>
      </c>
      <c r="B132" s="4"/>
      <c r="C132" s="19" t="s">
        <v>480</v>
      </c>
      <c r="D132" s="17" t="s">
        <v>165</v>
      </c>
      <c r="E132" s="4"/>
      <c r="F132" s="4"/>
      <c r="G132" s="4"/>
      <c r="H132" s="18"/>
      <c r="I132" s="18"/>
      <c r="J132" s="10"/>
      <c r="K132" s="10"/>
      <c r="L132" s="4"/>
      <c r="M132" s="4"/>
    </row>
    <row r="133" spans="1:13" x14ac:dyDescent="0.25">
      <c r="A133" s="4">
        <v>133</v>
      </c>
      <c r="B133" s="4"/>
      <c r="C133" s="19" t="s">
        <v>481</v>
      </c>
      <c r="D133" s="17" t="s">
        <v>166</v>
      </c>
      <c r="E133" s="4"/>
      <c r="F133" s="4"/>
      <c r="G133" s="4"/>
      <c r="H133" s="18"/>
      <c r="I133" s="18"/>
      <c r="J133" s="10"/>
      <c r="K133" s="10"/>
      <c r="L133" s="4"/>
      <c r="M133" s="4"/>
    </row>
    <row r="134" spans="1:13" x14ac:dyDescent="0.25">
      <c r="A134" s="4">
        <v>134</v>
      </c>
      <c r="B134" s="4"/>
      <c r="C134" s="19" t="s">
        <v>482</v>
      </c>
      <c r="D134" s="17" t="s">
        <v>167</v>
      </c>
      <c r="E134" s="4"/>
      <c r="F134" s="4"/>
      <c r="G134" s="4"/>
      <c r="H134" s="18"/>
      <c r="I134" s="18"/>
      <c r="J134" s="10"/>
      <c r="K134" s="10"/>
      <c r="L134" s="4"/>
      <c r="M134" s="4"/>
    </row>
    <row r="135" spans="1:13" x14ac:dyDescent="0.25">
      <c r="A135" s="4">
        <v>135</v>
      </c>
      <c r="B135" s="4"/>
      <c r="C135" s="19" t="s">
        <v>483</v>
      </c>
      <c r="D135" s="17" t="s">
        <v>168</v>
      </c>
      <c r="E135" s="4"/>
      <c r="F135" s="4"/>
      <c r="G135" s="4"/>
      <c r="H135" s="18"/>
      <c r="I135" s="18"/>
      <c r="J135" s="10"/>
      <c r="K135" s="10"/>
      <c r="L135" s="4"/>
      <c r="M135" s="4"/>
    </row>
    <row r="136" spans="1:13" x14ac:dyDescent="0.25">
      <c r="A136" s="4">
        <v>136</v>
      </c>
      <c r="B136" s="4"/>
      <c r="C136" s="19" t="s">
        <v>484</v>
      </c>
      <c r="D136" s="17" t="s">
        <v>169</v>
      </c>
      <c r="E136" s="4"/>
      <c r="F136" s="4"/>
      <c r="G136" s="4"/>
      <c r="H136" s="18"/>
      <c r="I136" s="18"/>
      <c r="J136" s="10"/>
      <c r="K136" s="10"/>
      <c r="L136" s="4"/>
      <c r="M136" s="4"/>
    </row>
    <row r="137" spans="1:13" x14ac:dyDescent="0.25">
      <c r="A137" s="4">
        <v>137</v>
      </c>
      <c r="B137" s="4"/>
      <c r="C137" s="19" t="s">
        <v>485</v>
      </c>
      <c r="D137" s="17" t="s">
        <v>170</v>
      </c>
      <c r="E137" s="4"/>
      <c r="F137" s="4"/>
      <c r="G137" s="4"/>
      <c r="H137" s="18"/>
      <c r="I137" s="18"/>
      <c r="J137" s="10"/>
      <c r="K137" s="10"/>
      <c r="L137" s="4"/>
      <c r="M137" s="4"/>
    </row>
    <row r="138" spans="1:13" x14ac:dyDescent="0.25">
      <c r="A138" s="4">
        <v>138</v>
      </c>
      <c r="B138" s="4"/>
      <c r="C138" s="19" t="s">
        <v>486</v>
      </c>
      <c r="D138" s="17" t="s">
        <v>171</v>
      </c>
      <c r="E138" s="4"/>
      <c r="F138" s="4"/>
      <c r="G138" s="4"/>
      <c r="H138" s="18"/>
      <c r="I138" s="18"/>
      <c r="J138" s="10"/>
      <c r="K138" s="10"/>
      <c r="L138" s="4"/>
      <c r="M138" s="4"/>
    </row>
    <row r="139" spans="1:13" x14ac:dyDescent="0.25">
      <c r="A139" s="4">
        <v>139</v>
      </c>
      <c r="B139" s="4"/>
      <c r="C139" s="19" t="s">
        <v>487</v>
      </c>
      <c r="D139" s="17" t="s">
        <v>172</v>
      </c>
      <c r="E139" s="4"/>
      <c r="F139" s="4"/>
      <c r="G139" s="4"/>
      <c r="H139" s="18"/>
      <c r="I139" s="18"/>
      <c r="J139" s="10"/>
      <c r="K139" s="10"/>
      <c r="L139" s="4"/>
      <c r="M139" s="4"/>
    </row>
    <row r="140" spans="1:13" x14ac:dyDescent="0.25">
      <c r="A140" s="4">
        <v>140</v>
      </c>
      <c r="B140" s="4"/>
      <c r="C140" s="19" t="s">
        <v>488</v>
      </c>
      <c r="D140" s="17" t="s">
        <v>173</v>
      </c>
      <c r="E140" s="4"/>
      <c r="F140" s="4"/>
      <c r="G140" s="4"/>
      <c r="H140" s="18"/>
      <c r="I140" s="18"/>
      <c r="J140" s="10"/>
      <c r="K140" s="10"/>
      <c r="L140" s="4"/>
      <c r="M140" s="4"/>
    </row>
    <row r="141" spans="1:13" x14ac:dyDescent="0.25">
      <c r="A141" s="4">
        <v>141</v>
      </c>
      <c r="B141" s="4"/>
      <c r="C141" s="19" t="s">
        <v>489</v>
      </c>
      <c r="D141" s="17" t="s">
        <v>174</v>
      </c>
      <c r="E141" s="4"/>
      <c r="F141" s="4"/>
      <c r="G141" s="4"/>
      <c r="H141" s="18"/>
      <c r="I141" s="18"/>
      <c r="J141" s="10"/>
      <c r="K141" s="10"/>
      <c r="L141" s="4"/>
      <c r="M141" s="4"/>
    </row>
    <row r="142" spans="1:13" x14ac:dyDescent="0.25">
      <c r="A142" s="4">
        <v>142</v>
      </c>
      <c r="B142" s="4"/>
      <c r="C142" s="19" t="s">
        <v>490</v>
      </c>
      <c r="D142" s="17" t="s">
        <v>175</v>
      </c>
      <c r="E142" s="4"/>
      <c r="F142" s="4"/>
      <c r="G142" s="4"/>
      <c r="H142" s="18"/>
      <c r="I142" s="18"/>
      <c r="J142" s="10"/>
      <c r="K142" s="10"/>
      <c r="L142" s="4"/>
      <c r="M142" s="4"/>
    </row>
    <row r="143" spans="1:13" x14ac:dyDescent="0.25">
      <c r="A143" s="4">
        <v>143</v>
      </c>
      <c r="B143" s="4"/>
      <c r="C143" s="19" t="s">
        <v>491</v>
      </c>
      <c r="D143" s="17" t="s">
        <v>176</v>
      </c>
      <c r="E143" s="4"/>
      <c r="F143" s="4"/>
      <c r="G143" s="4"/>
      <c r="H143" s="18"/>
      <c r="I143" s="18"/>
      <c r="J143" s="10"/>
      <c r="K143" s="10"/>
      <c r="L143" s="4"/>
      <c r="M143" s="4"/>
    </row>
    <row r="144" spans="1:13" x14ac:dyDescent="0.25">
      <c r="A144" s="4">
        <v>144</v>
      </c>
      <c r="B144" s="4"/>
      <c r="C144" s="19" t="s">
        <v>492</v>
      </c>
      <c r="D144" s="17" t="s">
        <v>177</v>
      </c>
      <c r="E144" s="4"/>
      <c r="F144" s="4"/>
      <c r="G144" s="4"/>
      <c r="H144" s="4"/>
      <c r="I144" s="4"/>
      <c r="J144" s="5"/>
      <c r="K144" s="5"/>
      <c r="L144" s="4"/>
      <c r="M144" s="4"/>
    </row>
    <row r="145" spans="1:13" x14ac:dyDescent="0.25">
      <c r="A145" s="4">
        <v>145</v>
      </c>
      <c r="B145" s="4"/>
      <c r="C145" s="19" t="s">
        <v>493</v>
      </c>
      <c r="D145" s="17" t="s">
        <v>178</v>
      </c>
      <c r="E145" s="4"/>
      <c r="F145" s="4"/>
      <c r="G145" s="4"/>
      <c r="H145" s="4"/>
      <c r="I145" s="4"/>
      <c r="J145" s="5"/>
      <c r="K145" s="5"/>
      <c r="L145" s="4"/>
      <c r="M145" s="4"/>
    </row>
    <row r="146" spans="1:13" x14ac:dyDescent="0.25">
      <c r="A146" s="4">
        <v>146</v>
      </c>
      <c r="B146" s="4"/>
      <c r="C146" s="19" t="s">
        <v>494</v>
      </c>
      <c r="D146" s="17" t="s">
        <v>179</v>
      </c>
      <c r="E146" s="4"/>
      <c r="F146" s="4"/>
      <c r="G146" s="4"/>
      <c r="H146" s="4"/>
      <c r="I146" s="4"/>
      <c r="J146" s="5"/>
      <c r="K146" s="5"/>
      <c r="L146" s="4"/>
      <c r="M146" s="4"/>
    </row>
    <row r="147" spans="1:13" x14ac:dyDescent="0.25">
      <c r="A147" s="4">
        <v>147</v>
      </c>
      <c r="B147" s="4"/>
      <c r="C147" s="19" t="s">
        <v>495</v>
      </c>
      <c r="D147" s="17" t="s">
        <v>180</v>
      </c>
      <c r="E147" s="4"/>
      <c r="F147" s="4"/>
      <c r="G147" s="4"/>
      <c r="H147" s="4"/>
      <c r="I147" s="4"/>
      <c r="J147" s="5"/>
      <c r="K147" s="5"/>
      <c r="L147" s="4"/>
      <c r="M147" s="4"/>
    </row>
    <row r="148" spans="1:13" x14ac:dyDescent="0.25">
      <c r="A148" s="4">
        <v>148</v>
      </c>
      <c r="B148" s="4"/>
      <c r="C148" s="19" t="s">
        <v>496</v>
      </c>
      <c r="D148" s="17" t="s">
        <v>181</v>
      </c>
      <c r="E148" s="4"/>
      <c r="F148" s="4"/>
      <c r="G148" s="4"/>
      <c r="H148" s="4"/>
      <c r="I148" s="4"/>
      <c r="J148" s="5"/>
      <c r="K148" s="5"/>
      <c r="L148" s="4"/>
      <c r="M148" s="4"/>
    </row>
    <row r="149" spans="1:13" x14ac:dyDescent="0.25">
      <c r="A149" s="4">
        <v>149</v>
      </c>
      <c r="B149" s="4"/>
      <c r="C149" s="19" t="s">
        <v>497</v>
      </c>
      <c r="D149" s="17" t="s">
        <v>182</v>
      </c>
      <c r="E149" s="4"/>
      <c r="F149" s="4"/>
      <c r="G149" s="4"/>
      <c r="H149" s="4"/>
      <c r="I149" s="4"/>
      <c r="J149" s="5"/>
      <c r="K149" s="5"/>
      <c r="L149" s="4"/>
      <c r="M149" s="4"/>
    </row>
    <row r="150" spans="1:13" x14ac:dyDescent="0.25">
      <c r="A150" s="4">
        <v>150</v>
      </c>
      <c r="B150" s="4"/>
      <c r="C150" s="19" t="s">
        <v>498</v>
      </c>
      <c r="D150" s="17" t="s">
        <v>183</v>
      </c>
      <c r="E150" s="4"/>
      <c r="F150" s="4"/>
      <c r="G150" s="4"/>
      <c r="H150" s="4"/>
      <c r="I150" s="4"/>
      <c r="J150" s="5"/>
      <c r="K150" s="5"/>
      <c r="L150" s="4"/>
      <c r="M150" s="4"/>
    </row>
    <row r="151" spans="1:13" x14ac:dyDescent="0.25">
      <c r="A151" s="4">
        <v>151</v>
      </c>
      <c r="B151" s="4"/>
      <c r="C151" s="19" t="s">
        <v>499</v>
      </c>
      <c r="D151" s="17" t="s">
        <v>184</v>
      </c>
      <c r="E151" s="4"/>
      <c r="F151" s="4"/>
      <c r="G151" s="4"/>
      <c r="H151" s="4"/>
      <c r="I151" s="4"/>
      <c r="J151" s="5"/>
      <c r="K151" s="5"/>
      <c r="L151" s="4"/>
      <c r="M151" s="4"/>
    </row>
    <row r="152" spans="1:13" x14ac:dyDescent="0.25">
      <c r="A152" s="4">
        <v>152</v>
      </c>
      <c r="B152" s="4"/>
      <c r="C152" s="19" t="s">
        <v>500</v>
      </c>
      <c r="D152" s="17" t="s">
        <v>185</v>
      </c>
      <c r="E152" s="4"/>
      <c r="F152" s="4"/>
      <c r="G152" s="4"/>
      <c r="H152" s="4"/>
      <c r="I152" s="4"/>
      <c r="J152" s="5"/>
      <c r="K152" s="5"/>
      <c r="L152" s="4"/>
      <c r="M152" s="4"/>
    </row>
    <row r="153" spans="1:13" x14ac:dyDescent="0.25">
      <c r="A153" s="4">
        <v>153</v>
      </c>
      <c r="B153" s="4"/>
      <c r="C153" s="19" t="s">
        <v>501</v>
      </c>
      <c r="D153" s="17" t="s">
        <v>186</v>
      </c>
      <c r="E153" s="4"/>
      <c r="F153" s="4"/>
      <c r="G153" s="4"/>
      <c r="H153" s="4"/>
      <c r="I153" s="4"/>
      <c r="J153" s="5"/>
      <c r="K153" s="5"/>
      <c r="L153" s="4"/>
      <c r="M153" s="4"/>
    </row>
    <row r="154" spans="1:13" x14ac:dyDescent="0.25">
      <c r="A154" s="4">
        <v>154</v>
      </c>
      <c r="B154" s="4"/>
      <c r="C154" s="19" t="s">
        <v>502</v>
      </c>
      <c r="D154" s="17" t="s">
        <v>187</v>
      </c>
      <c r="E154" s="4"/>
      <c r="F154" s="4"/>
      <c r="G154" s="4"/>
      <c r="H154" s="4"/>
      <c r="I154" s="4"/>
      <c r="J154" s="5"/>
      <c r="K154" s="5"/>
      <c r="L154" s="4"/>
      <c r="M154" s="4"/>
    </row>
    <row r="155" spans="1:13" x14ac:dyDescent="0.25">
      <c r="A155" s="4">
        <v>155</v>
      </c>
      <c r="B155" s="4"/>
      <c r="C155" s="19" t="s">
        <v>503</v>
      </c>
      <c r="D155" s="17" t="s">
        <v>188</v>
      </c>
      <c r="E155" s="4"/>
      <c r="F155" s="4"/>
      <c r="G155" s="4"/>
      <c r="H155" s="4"/>
      <c r="I155" s="4"/>
      <c r="J155" s="5"/>
      <c r="K155" s="5"/>
      <c r="L155" s="4"/>
      <c r="M155" s="4"/>
    </row>
    <row r="156" spans="1:13" x14ac:dyDescent="0.25">
      <c r="A156" s="4">
        <v>156</v>
      </c>
      <c r="B156" s="4"/>
      <c r="C156" s="19" t="s">
        <v>504</v>
      </c>
      <c r="D156" s="17" t="s">
        <v>189</v>
      </c>
      <c r="E156" s="4"/>
      <c r="F156" s="4"/>
      <c r="G156" s="4"/>
      <c r="H156" s="4"/>
      <c r="I156" s="4"/>
      <c r="J156" s="5"/>
      <c r="K156" s="5"/>
      <c r="L156" s="4"/>
      <c r="M156" s="4"/>
    </row>
    <row r="157" spans="1:13" x14ac:dyDescent="0.25">
      <c r="A157" s="4">
        <v>157</v>
      </c>
      <c r="B157" s="4"/>
      <c r="C157" s="19" t="s">
        <v>505</v>
      </c>
      <c r="D157" s="17" t="s">
        <v>190</v>
      </c>
      <c r="E157" s="4"/>
      <c r="F157" s="4"/>
      <c r="G157" s="4"/>
      <c r="H157" s="4"/>
      <c r="I157" s="4"/>
      <c r="J157" s="5"/>
      <c r="K157" s="5"/>
      <c r="L157" s="4"/>
      <c r="M157" s="4"/>
    </row>
    <row r="158" spans="1:13" x14ac:dyDescent="0.25">
      <c r="A158" s="4">
        <v>158</v>
      </c>
      <c r="B158" s="4"/>
      <c r="C158" s="19" t="s">
        <v>506</v>
      </c>
      <c r="D158" s="17" t="s">
        <v>191</v>
      </c>
      <c r="E158" s="4"/>
      <c r="F158" s="4"/>
      <c r="G158" s="4"/>
      <c r="H158" s="4"/>
      <c r="I158" s="4"/>
      <c r="J158" s="5"/>
      <c r="K158" s="5"/>
      <c r="L158" s="4"/>
      <c r="M158" s="4"/>
    </row>
    <row r="159" spans="1:13" x14ac:dyDescent="0.25">
      <c r="A159" s="4">
        <v>159</v>
      </c>
      <c r="B159" s="4"/>
      <c r="C159" s="19" t="s">
        <v>507</v>
      </c>
      <c r="D159" s="17" t="s">
        <v>192</v>
      </c>
      <c r="E159" s="4"/>
      <c r="F159" s="4"/>
      <c r="G159" s="4"/>
      <c r="H159" s="4"/>
      <c r="I159" s="4"/>
      <c r="J159" s="5"/>
      <c r="K159" s="5"/>
      <c r="L159" s="4"/>
      <c r="M159" s="4"/>
    </row>
    <row r="160" spans="1:13" x14ac:dyDescent="0.25">
      <c r="A160" s="4">
        <v>160</v>
      </c>
      <c r="B160" s="4"/>
      <c r="C160" s="19" t="s">
        <v>508</v>
      </c>
      <c r="D160" s="17" t="s">
        <v>193</v>
      </c>
      <c r="E160" s="4"/>
      <c r="F160" s="4"/>
      <c r="G160" s="4"/>
      <c r="H160" s="4"/>
      <c r="I160" s="4"/>
      <c r="J160" s="5"/>
      <c r="K160" s="5"/>
      <c r="L160" s="4"/>
      <c r="M160" s="4"/>
    </row>
    <row r="161" spans="1:13" x14ac:dyDescent="0.25">
      <c r="A161" s="4">
        <v>161</v>
      </c>
      <c r="B161" s="4"/>
      <c r="C161" s="19" t="s">
        <v>509</v>
      </c>
      <c r="D161" s="17" t="s">
        <v>194</v>
      </c>
      <c r="E161" s="4"/>
      <c r="F161" s="4"/>
      <c r="G161" s="4"/>
      <c r="H161" s="4"/>
      <c r="I161" s="4"/>
      <c r="J161" s="5"/>
      <c r="K161" s="5"/>
      <c r="L161" s="4"/>
      <c r="M161" s="4"/>
    </row>
    <row r="162" spans="1:13" x14ac:dyDescent="0.25">
      <c r="A162" s="4">
        <v>162</v>
      </c>
      <c r="B162" s="4"/>
      <c r="C162" s="19" t="s">
        <v>510</v>
      </c>
      <c r="D162" s="17" t="s">
        <v>195</v>
      </c>
      <c r="E162" s="4"/>
      <c r="F162" s="4"/>
      <c r="G162" s="4"/>
      <c r="H162" s="4"/>
      <c r="I162" s="4"/>
      <c r="J162" s="5"/>
      <c r="K162" s="5"/>
      <c r="L162" s="4"/>
      <c r="M162" s="4"/>
    </row>
    <row r="163" spans="1:13" x14ac:dyDescent="0.25">
      <c r="A163" s="4">
        <v>163</v>
      </c>
      <c r="B163" s="4"/>
      <c r="C163" s="19" t="s">
        <v>511</v>
      </c>
      <c r="D163" s="17" t="s">
        <v>196</v>
      </c>
      <c r="E163" s="4"/>
      <c r="F163" s="4"/>
      <c r="G163" s="4"/>
      <c r="H163" s="4"/>
      <c r="I163" s="4"/>
      <c r="J163" s="5"/>
      <c r="K163" s="5"/>
      <c r="L163" s="4"/>
      <c r="M163" s="4"/>
    </row>
    <row r="164" spans="1:13" x14ac:dyDescent="0.25">
      <c r="A164" s="4">
        <v>164</v>
      </c>
      <c r="B164" s="4"/>
      <c r="C164" s="19" t="s">
        <v>512</v>
      </c>
      <c r="D164" s="17" t="s">
        <v>197</v>
      </c>
      <c r="E164" s="4"/>
      <c r="F164" s="4"/>
      <c r="G164" s="4"/>
      <c r="H164" s="4"/>
      <c r="I164" s="4"/>
      <c r="J164" s="5"/>
      <c r="K164" s="5"/>
      <c r="L164" s="4"/>
      <c r="M164" s="4"/>
    </row>
    <row r="165" spans="1:13" x14ac:dyDescent="0.25">
      <c r="A165" s="4">
        <v>165</v>
      </c>
      <c r="B165" s="4"/>
      <c r="C165" s="19" t="s">
        <v>513</v>
      </c>
      <c r="D165" s="17" t="s">
        <v>198</v>
      </c>
      <c r="E165" s="4"/>
      <c r="F165" s="4"/>
      <c r="G165" s="4"/>
      <c r="H165" s="4"/>
      <c r="I165" s="4"/>
      <c r="J165" s="5"/>
      <c r="K165" s="5"/>
      <c r="L165" s="4"/>
      <c r="M165" s="4"/>
    </row>
    <row r="166" spans="1:13" x14ac:dyDescent="0.25">
      <c r="A166" s="4">
        <v>166</v>
      </c>
      <c r="B166" s="4"/>
      <c r="C166" s="19" t="s">
        <v>514</v>
      </c>
      <c r="D166" s="17" t="s">
        <v>199</v>
      </c>
      <c r="E166" s="4"/>
      <c r="F166" s="4"/>
      <c r="G166" s="4"/>
      <c r="H166" s="4"/>
      <c r="I166" s="4"/>
      <c r="J166" s="5"/>
      <c r="K166" s="5"/>
      <c r="L166" s="4"/>
      <c r="M166" s="4"/>
    </row>
    <row r="167" spans="1:13" x14ac:dyDescent="0.25">
      <c r="A167" s="4">
        <v>167</v>
      </c>
      <c r="B167" s="4"/>
      <c r="C167" s="19" t="s">
        <v>515</v>
      </c>
      <c r="D167" s="17" t="s">
        <v>200</v>
      </c>
      <c r="E167" s="4"/>
      <c r="F167" s="4"/>
      <c r="G167" s="4"/>
      <c r="H167" s="4"/>
      <c r="I167" s="4"/>
      <c r="J167" s="5"/>
      <c r="K167" s="5"/>
      <c r="L167" s="4"/>
      <c r="M167" s="4"/>
    </row>
    <row r="168" spans="1:13" x14ac:dyDescent="0.25">
      <c r="A168" s="4">
        <v>168</v>
      </c>
      <c r="B168" s="4"/>
      <c r="C168" s="19" t="s">
        <v>516</v>
      </c>
      <c r="D168" s="17" t="s">
        <v>201</v>
      </c>
      <c r="E168" s="4"/>
      <c r="F168" s="4"/>
      <c r="G168" s="4"/>
      <c r="H168" s="4"/>
      <c r="I168" s="4"/>
      <c r="J168" s="5"/>
      <c r="K168" s="5"/>
      <c r="L168" s="4"/>
      <c r="M168" s="4"/>
    </row>
    <row r="169" spans="1:13" x14ac:dyDescent="0.25">
      <c r="A169" s="4">
        <v>169</v>
      </c>
      <c r="B169" s="4"/>
      <c r="C169" s="19" t="s">
        <v>517</v>
      </c>
      <c r="D169" s="17" t="s">
        <v>202</v>
      </c>
      <c r="E169" s="4"/>
      <c r="F169" s="4"/>
      <c r="G169" s="4"/>
      <c r="H169" s="4"/>
      <c r="I169" s="4"/>
      <c r="J169" s="5"/>
      <c r="K169" s="5"/>
      <c r="L169" s="4"/>
      <c r="M169" s="4"/>
    </row>
    <row r="170" spans="1:13" x14ac:dyDescent="0.25">
      <c r="A170" s="4">
        <v>170</v>
      </c>
      <c r="B170" s="4"/>
      <c r="C170" s="19" t="s">
        <v>518</v>
      </c>
      <c r="D170" s="17" t="s">
        <v>203</v>
      </c>
      <c r="E170" s="4"/>
      <c r="F170" s="4"/>
      <c r="G170" s="4"/>
      <c r="H170" s="4"/>
      <c r="I170" s="4"/>
      <c r="J170" s="5"/>
      <c r="K170" s="5"/>
      <c r="L170" s="4"/>
      <c r="M170" s="4"/>
    </row>
    <row r="171" spans="1:13" x14ac:dyDescent="0.25">
      <c r="A171" s="4">
        <v>171</v>
      </c>
      <c r="B171" s="4"/>
      <c r="C171" s="19" t="s">
        <v>519</v>
      </c>
      <c r="D171" s="17" t="s">
        <v>204</v>
      </c>
      <c r="E171" s="4"/>
      <c r="F171" s="4"/>
      <c r="G171" s="4"/>
      <c r="H171" s="4"/>
      <c r="I171" s="4"/>
      <c r="J171" s="5"/>
      <c r="K171" s="5"/>
      <c r="L171" s="4"/>
      <c r="M171" s="4"/>
    </row>
    <row r="172" spans="1:13" x14ac:dyDescent="0.25">
      <c r="A172" s="4">
        <v>172</v>
      </c>
      <c r="B172" s="4"/>
      <c r="C172" s="19" t="s">
        <v>520</v>
      </c>
      <c r="D172" s="17" t="s">
        <v>205</v>
      </c>
      <c r="E172" s="4"/>
      <c r="F172" s="4"/>
      <c r="G172" s="4"/>
      <c r="H172" s="4"/>
      <c r="I172" s="4"/>
      <c r="J172" s="5"/>
      <c r="K172" s="5"/>
      <c r="L172" s="4"/>
      <c r="M172" s="4"/>
    </row>
    <row r="173" spans="1:13" x14ac:dyDescent="0.25">
      <c r="A173" s="4">
        <v>173</v>
      </c>
      <c r="B173" s="4"/>
      <c r="C173" s="19" t="s">
        <v>521</v>
      </c>
      <c r="D173" s="17" t="s">
        <v>206</v>
      </c>
      <c r="E173" s="4"/>
      <c r="F173" s="4"/>
      <c r="G173" s="4"/>
      <c r="H173" s="4"/>
      <c r="I173" s="4"/>
      <c r="J173" s="5"/>
      <c r="K173" s="5"/>
      <c r="L173" s="4"/>
      <c r="M173" s="4"/>
    </row>
    <row r="174" spans="1:13" x14ac:dyDescent="0.25">
      <c r="A174" s="4">
        <v>174</v>
      </c>
      <c r="B174" s="4"/>
      <c r="C174" s="19" t="s">
        <v>522</v>
      </c>
      <c r="D174" s="17" t="s">
        <v>207</v>
      </c>
      <c r="E174" s="4"/>
      <c r="F174" s="4"/>
      <c r="G174" s="4"/>
      <c r="H174" s="4"/>
      <c r="I174" s="4"/>
      <c r="J174" s="5"/>
      <c r="K174" s="5"/>
      <c r="L174" s="4"/>
      <c r="M174" s="4"/>
    </row>
    <row r="175" spans="1:13" x14ac:dyDescent="0.25">
      <c r="A175" s="4">
        <v>175</v>
      </c>
      <c r="B175" s="4"/>
      <c r="C175" s="19" t="s">
        <v>523</v>
      </c>
      <c r="D175" s="17" t="s">
        <v>208</v>
      </c>
      <c r="E175" s="4"/>
      <c r="F175" s="4"/>
      <c r="G175" s="4"/>
      <c r="H175" s="4"/>
      <c r="I175" s="4"/>
      <c r="J175" s="5"/>
      <c r="K175" s="5"/>
      <c r="L175" s="4"/>
      <c r="M175" s="4"/>
    </row>
    <row r="176" spans="1:13" x14ac:dyDescent="0.25">
      <c r="A176" s="4">
        <v>176</v>
      </c>
      <c r="B176" s="4"/>
      <c r="C176" s="19" t="s">
        <v>524</v>
      </c>
      <c r="D176" s="17" t="s">
        <v>209</v>
      </c>
      <c r="E176" s="4"/>
      <c r="F176" s="4"/>
      <c r="G176" s="4"/>
      <c r="H176" s="4"/>
      <c r="I176" s="4"/>
      <c r="J176" s="5"/>
      <c r="K176" s="5"/>
      <c r="L176" s="4"/>
      <c r="M176" s="4"/>
    </row>
    <row r="177" spans="1:13" x14ac:dyDescent="0.25">
      <c r="A177" s="4">
        <v>177</v>
      </c>
      <c r="B177" s="4"/>
      <c r="C177" s="19" t="s">
        <v>525</v>
      </c>
      <c r="D177" s="17" t="s">
        <v>210</v>
      </c>
      <c r="E177" s="4"/>
      <c r="F177" s="4"/>
      <c r="G177" s="4"/>
      <c r="H177" s="4"/>
      <c r="I177" s="4"/>
      <c r="J177" s="5"/>
      <c r="K177" s="5"/>
      <c r="L177" s="4"/>
      <c r="M177" s="4"/>
    </row>
    <row r="178" spans="1:13" x14ac:dyDescent="0.25">
      <c r="A178" s="4">
        <v>178</v>
      </c>
      <c r="B178" s="4"/>
      <c r="C178" s="19" t="s">
        <v>526</v>
      </c>
      <c r="D178" s="17" t="s">
        <v>211</v>
      </c>
      <c r="E178" s="4"/>
      <c r="F178" s="4"/>
      <c r="G178" s="4"/>
      <c r="H178" s="4"/>
      <c r="I178" s="4"/>
      <c r="J178" s="5"/>
      <c r="K178" s="5"/>
      <c r="L178" s="4"/>
      <c r="M178" s="4"/>
    </row>
    <row r="179" spans="1:13" x14ac:dyDescent="0.25">
      <c r="A179" s="4">
        <v>179</v>
      </c>
      <c r="B179" s="4"/>
      <c r="C179" s="19" t="s">
        <v>527</v>
      </c>
      <c r="D179" s="17" t="s">
        <v>212</v>
      </c>
      <c r="E179" s="4"/>
      <c r="F179" s="4"/>
      <c r="G179" s="4"/>
      <c r="H179" s="4"/>
      <c r="I179" s="4"/>
      <c r="J179" s="5"/>
      <c r="K179" s="5"/>
      <c r="L179" s="4"/>
      <c r="M179" s="4"/>
    </row>
    <row r="180" spans="1:13" x14ac:dyDescent="0.25">
      <c r="A180" s="4">
        <v>180</v>
      </c>
      <c r="B180" s="4"/>
      <c r="C180" s="19" t="s">
        <v>528</v>
      </c>
      <c r="D180" s="17" t="s">
        <v>213</v>
      </c>
      <c r="E180" s="4"/>
      <c r="F180" s="4"/>
      <c r="G180" s="4"/>
      <c r="H180" s="4"/>
      <c r="I180" s="4"/>
      <c r="J180" s="5"/>
      <c r="K180" s="5"/>
      <c r="L180" s="4"/>
      <c r="M180" s="4"/>
    </row>
    <row r="181" spans="1:13" x14ac:dyDescent="0.25">
      <c r="A181" s="4">
        <v>181</v>
      </c>
      <c r="B181" s="4"/>
      <c r="C181" s="19" t="s">
        <v>529</v>
      </c>
      <c r="D181" s="17" t="s">
        <v>214</v>
      </c>
      <c r="E181" s="4"/>
      <c r="F181" s="4"/>
      <c r="G181" s="4"/>
      <c r="H181" s="4"/>
      <c r="I181" s="4"/>
      <c r="J181" s="5"/>
      <c r="K181" s="5"/>
      <c r="L181" s="4"/>
      <c r="M181" s="4"/>
    </row>
    <row r="182" spans="1:13" x14ac:dyDescent="0.25">
      <c r="A182" s="4">
        <v>182</v>
      </c>
      <c r="B182" s="4"/>
      <c r="C182" s="19" t="s">
        <v>530</v>
      </c>
      <c r="D182" s="17" t="s">
        <v>215</v>
      </c>
      <c r="E182" s="4"/>
      <c r="F182" s="4"/>
      <c r="G182" s="4"/>
      <c r="H182" s="4"/>
      <c r="I182" s="4"/>
      <c r="J182" s="5"/>
      <c r="K182" s="5"/>
      <c r="L182" s="4"/>
      <c r="M182" s="4"/>
    </row>
    <row r="183" spans="1:13" x14ac:dyDescent="0.25">
      <c r="A183" s="4">
        <v>183</v>
      </c>
      <c r="B183" s="4"/>
      <c r="C183" s="19" t="s">
        <v>531</v>
      </c>
      <c r="D183" s="17" t="s">
        <v>216</v>
      </c>
      <c r="E183" s="4"/>
      <c r="F183" s="4"/>
      <c r="G183" s="4"/>
      <c r="H183" s="4"/>
      <c r="I183" s="4"/>
      <c r="J183" s="5"/>
      <c r="K183" s="5"/>
      <c r="L183" s="4"/>
      <c r="M183" s="4"/>
    </row>
    <row r="184" spans="1:13" x14ac:dyDescent="0.25">
      <c r="A184" s="4">
        <v>184</v>
      </c>
      <c r="B184" s="4"/>
      <c r="C184" s="19" t="s">
        <v>532</v>
      </c>
      <c r="D184" s="17" t="s">
        <v>217</v>
      </c>
      <c r="E184" s="4"/>
      <c r="F184" s="4"/>
      <c r="G184" s="4"/>
      <c r="H184" s="4"/>
      <c r="I184" s="4"/>
      <c r="J184" s="5"/>
      <c r="K184" s="5"/>
      <c r="L184" s="4"/>
      <c r="M184" s="4"/>
    </row>
    <row r="185" spans="1:13" x14ac:dyDescent="0.25">
      <c r="A185" s="4">
        <v>185</v>
      </c>
      <c r="B185" s="4"/>
      <c r="C185" s="19" t="s">
        <v>533</v>
      </c>
      <c r="D185" s="17" t="s">
        <v>218</v>
      </c>
      <c r="E185" s="4"/>
      <c r="F185" s="4"/>
      <c r="G185" s="4"/>
      <c r="H185" s="4"/>
      <c r="I185" s="4"/>
      <c r="J185" s="5"/>
      <c r="K185" s="5"/>
      <c r="L185" s="4"/>
      <c r="M185" s="4"/>
    </row>
    <row r="186" spans="1:13" x14ac:dyDescent="0.25">
      <c r="A186" s="4">
        <v>186</v>
      </c>
      <c r="B186" s="4"/>
      <c r="C186" s="19" t="s">
        <v>534</v>
      </c>
      <c r="D186" s="17" t="s">
        <v>219</v>
      </c>
      <c r="E186" s="4"/>
      <c r="F186" s="4"/>
      <c r="G186" s="4"/>
      <c r="H186" s="4"/>
      <c r="I186" s="4"/>
      <c r="J186" s="5"/>
      <c r="K186" s="5"/>
      <c r="L186" s="4"/>
      <c r="M186" s="4"/>
    </row>
    <row r="187" spans="1:13" x14ac:dyDescent="0.25">
      <c r="A187" s="4">
        <v>187</v>
      </c>
      <c r="B187" s="4"/>
      <c r="C187" s="19" t="s">
        <v>535</v>
      </c>
      <c r="D187" s="17" t="s">
        <v>220</v>
      </c>
      <c r="E187" s="4"/>
      <c r="F187" s="4"/>
      <c r="G187" s="4"/>
      <c r="H187" s="4"/>
      <c r="I187" s="4"/>
      <c r="J187" s="5"/>
      <c r="K187" s="5"/>
      <c r="L187" s="4"/>
      <c r="M187" s="4"/>
    </row>
    <row r="188" spans="1:13" x14ac:dyDescent="0.25">
      <c r="A188" s="4">
        <v>188</v>
      </c>
      <c r="B188" s="4"/>
      <c r="C188" s="19" t="s">
        <v>536</v>
      </c>
      <c r="D188" s="17" t="s">
        <v>221</v>
      </c>
      <c r="E188" s="4"/>
      <c r="F188" s="4"/>
      <c r="G188" s="4"/>
      <c r="H188" s="4"/>
      <c r="I188" s="4"/>
      <c r="J188" s="5"/>
      <c r="K188" s="5"/>
      <c r="L188" s="4"/>
      <c r="M188" s="4"/>
    </row>
    <row r="189" spans="1:13" x14ac:dyDescent="0.25">
      <c r="A189" s="4">
        <v>189</v>
      </c>
      <c r="B189" s="4"/>
      <c r="C189" s="19" t="s">
        <v>537</v>
      </c>
      <c r="D189" s="17" t="s">
        <v>222</v>
      </c>
      <c r="E189" s="4"/>
      <c r="F189" s="4"/>
      <c r="G189" s="4"/>
      <c r="H189" s="4"/>
      <c r="I189" s="4"/>
      <c r="J189" s="5"/>
      <c r="K189" s="5"/>
      <c r="L189" s="4"/>
      <c r="M189" s="4"/>
    </row>
    <row r="190" spans="1:13" x14ac:dyDescent="0.25">
      <c r="A190" s="4">
        <v>190</v>
      </c>
      <c r="B190" s="4"/>
      <c r="C190" s="19" t="s">
        <v>538</v>
      </c>
      <c r="D190" s="17" t="s">
        <v>223</v>
      </c>
      <c r="E190" s="4"/>
      <c r="F190" s="4"/>
      <c r="G190" s="4"/>
      <c r="H190" s="4"/>
      <c r="I190" s="4"/>
      <c r="J190" s="5"/>
      <c r="K190" s="5"/>
      <c r="L190" s="4"/>
      <c r="M190" s="4"/>
    </row>
    <row r="191" spans="1:13" x14ac:dyDescent="0.25">
      <c r="A191" s="4">
        <v>191</v>
      </c>
      <c r="B191" s="4"/>
      <c r="C191" s="19" t="s">
        <v>539</v>
      </c>
      <c r="D191" s="17" t="s">
        <v>224</v>
      </c>
      <c r="E191" s="4"/>
      <c r="F191" s="4"/>
      <c r="G191" s="4"/>
      <c r="H191" s="4"/>
      <c r="I191" s="4"/>
      <c r="J191" s="5"/>
      <c r="K191" s="5"/>
      <c r="L191" s="4"/>
      <c r="M191" s="4"/>
    </row>
    <row r="192" spans="1:13" x14ac:dyDescent="0.25">
      <c r="A192" s="4">
        <v>192</v>
      </c>
      <c r="B192" s="4"/>
      <c r="C192" s="19" t="s">
        <v>540</v>
      </c>
      <c r="D192" s="17" t="s">
        <v>225</v>
      </c>
      <c r="E192" s="4"/>
      <c r="F192" s="4"/>
      <c r="G192" s="4"/>
      <c r="H192" s="4"/>
      <c r="I192" s="4"/>
      <c r="J192" s="5"/>
      <c r="K192" s="5"/>
      <c r="L192" s="4"/>
      <c r="M192" s="4"/>
    </row>
    <row r="193" spans="1:13" x14ac:dyDescent="0.25">
      <c r="A193" s="4">
        <v>193</v>
      </c>
      <c r="B193" s="4"/>
      <c r="C193" s="19" t="s">
        <v>541</v>
      </c>
      <c r="D193" s="17" t="s">
        <v>226</v>
      </c>
      <c r="E193" s="4"/>
      <c r="F193" s="4"/>
      <c r="G193" s="4"/>
      <c r="H193" s="4"/>
      <c r="I193" s="4"/>
      <c r="J193" s="5"/>
      <c r="K193" s="5"/>
      <c r="L193" s="4"/>
      <c r="M193" s="4"/>
    </row>
    <row r="194" spans="1:13" x14ac:dyDescent="0.25">
      <c r="A194" s="4">
        <v>194</v>
      </c>
      <c r="B194" s="4"/>
      <c r="C194" s="19" t="s">
        <v>542</v>
      </c>
      <c r="D194" s="17" t="s">
        <v>227</v>
      </c>
      <c r="E194" s="4"/>
      <c r="F194" s="4"/>
      <c r="G194" s="4"/>
      <c r="H194" s="4"/>
      <c r="I194" s="4"/>
      <c r="J194" s="5"/>
      <c r="K194" s="5"/>
      <c r="L194" s="4"/>
      <c r="M194" s="4"/>
    </row>
    <row r="195" spans="1:13" x14ac:dyDescent="0.25">
      <c r="A195" s="4">
        <v>195</v>
      </c>
      <c r="B195" s="4"/>
      <c r="C195" s="19" t="s">
        <v>543</v>
      </c>
      <c r="D195" s="17" t="s">
        <v>760</v>
      </c>
      <c r="E195" s="4"/>
      <c r="F195" s="4"/>
      <c r="G195" s="4"/>
      <c r="H195" s="4"/>
      <c r="I195" s="4"/>
      <c r="J195" s="5"/>
      <c r="K195" s="5"/>
      <c r="L195" s="4"/>
      <c r="M195" s="4"/>
    </row>
    <row r="196" spans="1:13" x14ac:dyDescent="0.25">
      <c r="A196" s="4">
        <v>196</v>
      </c>
      <c r="B196" s="4"/>
      <c r="C196" s="19" t="s">
        <v>544</v>
      </c>
      <c r="D196" s="17" t="s">
        <v>228</v>
      </c>
      <c r="E196" s="4"/>
      <c r="F196" s="4"/>
      <c r="G196" s="4"/>
      <c r="H196" s="4"/>
      <c r="I196" s="4"/>
      <c r="J196" s="5"/>
      <c r="K196" s="5"/>
      <c r="L196" s="4"/>
      <c r="M196" s="4"/>
    </row>
    <row r="197" spans="1:13" x14ac:dyDescent="0.25">
      <c r="A197" s="4">
        <v>197</v>
      </c>
      <c r="B197" s="4"/>
      <c r="C197" s="19" t="s">
        <v>545</v>
      </c>
      <c r="D197" s="17" t="s">
        <v>229</v>
      </c>
      <c r="E197" s="4"/>
      <c r="F197" s="4"/>
      <c r="G197" s="4"/>
      <c r="H197" s="4"/>
      <c r="I197" s="4"/>
      <c r="J197" s="5"/>
      <c r="K197" s="5"/>
      <c r="L197" s="4"/>
      <c r="M197" s="4"/>
    </row>
    <row r="198" spans="1:13" x14ac:dyDescent="0.25">
      <c r="A198" s="4">
        <v>198</v>
      </c>
      <c r="B198" s="4"/>
      <c r="C198" s="19" t="s">
        <v>546</v>
      </c>
      <c r="D198" s="17" t="s">
        <v>230</v>
      </c>
      <c r="E198" s="4"/>
      <c r="F198" s="4"/>
      <c r="G198" s="4"/>
      <c r="H198" s="4"/>
      <c r="I198" s="4"/>
      <c r="J198" s="5"/>
      <c r="K198" s="5"/>
      <c r="L198" s="4"/>
      <c r="M198" s="4"/>
    </row>
    <row r="199" spans="1:13" x14ac:dyDescent="0.25">
      <c r="A199" s="4">
        <v>199</v>
      </c>
      <c r="B199" s="4"/>
      <c r="C199" s="19" t="s">
        <v>547</v>
      </c>
      <c r="D199" s="17" t="s">
        <v>231</v>
      </c>
      <c r="E199" s="4"/>
      <c r="F199" s="4"/>
      <c r="G199" s="4"/>
      <c r="H199" s="4"/>
      <c r="I199" s="4"/>
      <c r="J199" s="5"/>
      <c r="K199" s="5"/>
      <c r="L199" s="4"/>
      <c r="M199" s="4"/>
    </row>
    <row r="200" spans="1:13" x14ac:dyDescent="0.25">
      <c r="A200" s="4">
        <v>200</v>
      </c>
      <c r="B200" s="4"/>
      <c r="C200" s="19" t="s">
        <v>548</v>
      </c>
      <c r="D200" s="17" t="s">
        <v>232</v>
      </c>
      <c r="E200" s="4"/>
      <c r="F200" s="4"/>
      <c r="G200" s="4"/>
      <c r="H200" s="4"/>
      <c r="I200" s="4"/>
      <c r="J200" s="5"/>
      <c r="K200" s="5"/>
      <c r="L200" s="4"/>
      <c r="M200" s="4"/>
    </row>
    <row r="201" spans="1:13" x14ac:dyDescent="0.25">
      <c r="A201" s="4">
        <v>201</v>
      </c>
      <c r="B201" s="4"/>
      <c r="C201" s="19" t="s">
        <v>549</v>
      </c>
      <c r="D201" s="17" t="s">
        <v>233</v>
      </c>
      <c r="E201" s="4"/>
      <c r="F201" s="4"/>
      <c r="G201" s="4"/>
      <c r="H201" s="4"/>
      <c r="I201" s="4"/>
      <c r="J201" s="5"/>
      <c r="K201" s="5"/>
      <c r="L201" s="4"/>
      <c r="M201" s="4"/>
    </row>
    <row r="202" spans="1:13" x14ac:dyDescent="0.25">
      <c r="A202" s="4">
        <v>202</v>
      </c>
      <c r="B202" s="4"/>
      <c r="C202" s="19" t="s">
        <v>550</v>
      </c>
      <c r="D202" s="17" t="s">
        <v>234</v>
      </c>
      <c r="E202" s="4"/>
      <c r="F202" s="4"/>
      <c r="G202" s="4"/>
      <c r="H202" s="4"/>
      <c r="I202" s="4"/>
      <c r="J202" s="5"/>
      <c r="K202" s="5"/>
      <c r="L202" s="4"/>
      <c r="M202" s="4"/>
    </row>
    <row r="203" spans="1:13" x14ac:dyDescent="0.25">
      <c r="A203" s="4">
        <v>203</v>
      </c>
      <c r="B203" s="4"/>
      <c r="C203" s="19" t="s">
        <v>551</v>
      </c>
      <c r="D203" s="17" t="s">
        <v>235</v>
      </c>
      <c r="E203" s="4"/>
      <c r="F203" s="4"/>
      <c r="G203" s="4"/>
      <c r="H203" s="4"/>
      <c r="I203" s="4"/>
      <c r="J203" s="5"/>
      <c r="K203" s="5"/>
      <c r="L203" s="4"/>
      <c r="M203" s="4"/>
    </row>
    <row r="204" spans="1:13" x14ac:dyDescent="0.25">
      <c r="A204" s="4">
        <v>204</v>
      </c>
      <c r="B204" s="4"/>
      <c r="C204" s="19" t="s">
        <v>552</v>
      </c>
      <c r="D204" s="17" t="s">
        <v>236</v>
      </c>
      <c r="E204" s="4"/>
      <c r="F204" s="4"/>
      <c r="G204" s="4"/>
      <c r="H204" s="4"/>
      <c r="I204" s="4"/>
      <c r="J204" s="5"/>
      <c r="K204" s="5"/>
      <c r="L204" s="4"/>
      <c r="M204" s="4"/>
    </row>
    <row r="205" spans="1:13" x14ac:dyDescent="0.25">
      <c r="A205" s="4">
        <v>205</v>
      </c>
      <c r="B205" s="4"/>
      <c r="C205" s="19" t="s">
        <v>553</v>
      </c>
      <c r="D205" s="17" t="s">
        <v>237</v>
      </c>
      <c r="E205" s="4"/>
      <c r="F205" s="4"/>
      <c r="G205" s="4"/>
      <c r="H205" s="4"/>
      <c r="I205" s="4"/>
      <c r="J205" s="5"/>
      <c r="K205" s="5"/>
      <c r="L205" s="4"/>
      <c r="M205" s="4"/>
    </row>
    <row r="206" spans="1:13" x14ac:dyDescent="0.25">
      <c r="A206" s="4">
        <v>206</v>
      </c>
      <c r="B206" s="4"/>
      <c r="C206" s="19" t="s">
        <v>554</v>
      </c>
      <c r="D206" s="17" t="s">
        <v>238</v>
      </c>
      <c r="E206" s="4"/>
      <c r="F206" s="4"/>
      <c r="G206" s="4"/>
      <c r="H206" s="4"/>
      <c r="I206" s="4"/>
      <c r="J206" s="5"/>
      <c r="K206" s="5"/>
      <c r="L206" s="4"/>
      <c r="M206" s="4"/>
    </row>
    <row r="207" spans="1:13" x14ac:dyDescent="0.25">
      <c r="A207" s="4">
        <v>207</v>
      </c>
      <c r="B207" s="4"/>
      <c r="C207" s="19" t="s">
        <v>555</v>
      </c>
      <c r="D207" s="17" t="s">
        <v>239</v>
      </c>
      <c r="E207" s="4"/>
      <c r="F207" s="4"/>
      <c r="G207" s="4"/>
      <c r="H207" s="4"/>
      <c r="I207" s="4"/>
      <c r="J207" s="5"/>
      <c r="K207" s="5"/>
      <c r="L207" s="4"/>
      <c r="M207" s="4"/>
    </row>
    <row r="208" spans="1:13" x14ac:dyDescent="0.25">
      <c r="A208" s="4">
        <v>208</v>
      </c>
      <c r="B208" s="4"/>
      <c r="C208" s="19" t="s">
        <v>556</v>
      </c>
      <c r="D208" s="17" t="s">
        <v>240</v>
      </c>
      <c r="E208" s="4"/>
      <c r="F208" s="4"/>
      <c r="G208" s="4"/>
      <c r="H208" s="4"/>
      <c r="I208" s="4"/>
      <c r="J208" s="5"/>
      <c r="K208" s="5"/>
      <c r="L208" s="4"/>
      <c r="M208" s="4"/>
    </row>
    <row r="209" spans="1:13" x14ac:dyDescent="0.25">
      <c r="A209" s="4">
        <v>209</v>
      </c>
      <c r="B209" s="4"/>
      <c r="C209" s="19" t="s">
        <v>557</v>
      </c>
      <c r="D209" s="17" t="s">
        <v>241</v>
      </c>
      <c r="E209" s="4"/>
      <c r="F209" s="4"/>
      <c r="G209" s="4"/>
      <c r="H209" s="4"/>
      <c r="I209" s="4"/>
      <c r="J209" s="5"/>
      <c r="K209" s="5"/>
      <c r="L209" s="4"/>
      <c r="M209" s="4"/>
    </row>
    <row r="210" spans="1:13" x14ac:dyDescent="0.25">
      <c r="A210" s="4">
        <v>210</v>
      </c>
      <c r="B210" s="4"/>
      <c r="C210" s="19" t="s">
        <v>558</v>
      </c>
      <c r="D210" s="17" t="s">
        <v>242</v>
      </c>
      <c r="E210" s="4"/>
      <c r="F210" s="4"/>
      <c r="G210" s="4"/>
      <c r="H210" s="4"/>
      <c r="I210" s="4"/>
      <c r="J210" s="5"/>
      <c r="K210" s="5"/>
      <c r="L210" s="4"/>
      <c r="M210" s="4"/>
    </row>
    <row r="211" spans="1:13" x14ac:dyDescent="0.25">
      <c r="A211" s="4">
        <v>211</v>
      </c>
      <c r="B211" s="4"/>
      <c r="C211" s="19" t="s">
        <v>559</v>
      </c>
      <c r="D211" s="17" t="s">
        <v>243</v>
      </c>
      <c r="E211" s="4"/>
      <c r="F211" s="4"/>
      <c r="G211" s="4"/>
      <c r="H211" s="4"/>
      <c r="I211" s="4"/>
      <c r="J211" s="5"/>
      <c r="K211" s="5"/>
      <c r="L211" s="4"/>
      <c r="M211" s="4"/>
    </row>
    <row r="212" spans="1:13" x14ac:dyDescent="0.25">
      <c r="A212" s="4">
        <v>212</v>
      </c>
      <c r="B212" s="4"/>
      <c r="C212" s="19" t="s">
        <v>560</v>
      </c>
      <c r="D212" s="17" t="s">
        <v>244</v>
      </c>
      <c r="E212" s="4"/>
      <c r="F212" s="4"/>
      <c r="G212" s="4"/>
      <c r="H212" s="4"/>
      <c r="I212" s="4"/>
      <c r="J212" s="5"/>
      <c r="K212" s="5"/>
      <c r="L212" s="4"/>
      <c r="M212" s="4"/>
    </row>
    <row r="213" spans="1:13" x14ac:dyDescent="0.25">
      <c r="A213" s="4">
        <v>213</v>
      </c>
      <c r="B213" s="4"/>
      <c r="C213" s="19" t="s">
        <v>561</v>
      </c>
      <c r="D213" s="17" t="s">
        <v>245</v>
      </c>
      <c r="E213" s="4"/>
      <c r="F213" s="4"/>
      <c r="G213" s="4"/>
      <c r="H213" s="4"/>
      <c r="I213" s="4"/>
      <c r="J213" s="5"/>
      <c r="K213" s="5"/>
      <c r="L213" s="4"/>
      <c r="M213" s="4"/>
    </row>
    <row r="214" spans="1:13" x14ac:dyDescent="0.25">
      <c r="A214" s="4">
        <v>214</v>
      </c>
      <c r="B214" s="4"/>
      <c r="C214" s="19" t="s">
        <v>562</v>
      </c>
      <c r="D214" s="17" t="s">
        <v>246</v>
      </c>
      <c r="E214" s="4"/>
      <c r="F214" s="4"/>
      <c r="G214" s="4"/>
      <c r="H214" s="4"/>
      <c r="I214" s="4"/>
      <c r="J214" s="5"/>
      <c r="K214" s="5"/>
      <c r="L214" s="4"/>
      <c r="M214" s="4"/>
    </row>
    <row r="215" spans="1:13" x14ac:dyDescent="0.25">
      <c r="A215" s="4">
        <v>215</v>
      </c>
      <c r="B215" s="4"/>
      <c r="C215" s="19" t="s">
        <v>563</v>
      </c>
      <c r="D215" s="17" t="s">
        <v>247</v>
      </c>
      <c r="E215" s="4"/>
      <c r="F215" s="4"/>
      <c r="G215" s="4"/>
      <c r="H215" s="4"/>
      <c r="I215" s="4"/>
      <c r="J215" s="5"/>
      <c r="K215" s="5"/>
      <c r="L215" s="4"/>
      <c r="M215" s="4"/>
    </row>
    <row r="216" spans="1:13" x14ac:dyDescent="0.25">
      <c r="A216" s="4">
        <v>216</v>
      </c>
      <c r="B216" s="4"/>
      <c r="C216" s="19" t="s">
        <v>564</v>
      </c>
      <c r="D216" s="17" t="s">
        <v>248</v>
      </c>
      <c r="E216" s="4"/>
      <c r="F216" s="4"/>
      <c r="G216" s="4"/>
      <c r="H216" s="4"/>
      <c r="I216" s="4"/>
      <c r="J216" s="5"/>
      <c r="K216" s="5"/>
      <c r="L216" s="4"/>
      <c r="M216" s="4"/>
    </row>
    <row r="217" spans="1:13" x14ac:dyDescent="0.25">
      <c r="A217" s="4">
        <v>217</v>
      </c>
      <c r="B217" s="4"/>
      <c r="C217" s="19" t="s">
        <v>565</v>
      </c>
      <c r="D217" s="17" t="s">
        <v>249</v>
      </c>
      <c r="E217" s="4"/>
      <c r="F217" s="4"/>
      <c r="G217" s="4"/>
      <c r="H217" s="4"/>
      <c r="I217" s="4"/>
      <c r="J217" s="5"/>
      <c r="K217" s="5"/>
      <c r="L217" s="4"/>
      <c r="M217" s="4"/>
    </row>
    <row r="218" spans="1:13" x14ac:dyDescent="0.25">
      <c r="A218" s="4">
        <v>218</v>
      </c>
      <c r="B218" s="4"/>
      <c r="C218" s="19" t="s">
        <v>566</v>
      </c>
      <c r="D218" s="17" t="s">
        <v>250</v>
      </c>
      <c r="E218" s="4"/>
      <c r="F218" s="4"/>
      <c r="G218" s="4"/>
      <c r="H218" s="4"/>
      <c r="I218" s="4"/>
      <c r="J218" s="5"/>
      <c r="K218" s="5"/>
      <c r="L218" s="4"/>
      <c r="M218" s="4"/>
    </row>
    <row r="219" spans="1:13" x14ac:dyDescent="0.25">
      <c r="A219" s="4">
        <v>219</v>
      </c>
      <c r="B219" s="4"/>
      <c r="C219" s="19" t="s">
        <v>567</v>
      </c>
      <c r="D219" s="17" t="s">
        <v>251</v>
      </c>
      <c r="E219" s="4"/>
      <c r="F219" s="4"/>
      <c r="G219" s="4"/>
      <c r="H219" s="4"/>
      <c r="I219" s="4"/>
      <c r="J219" s="5"/>
      <c r="K219" s="5"/>
      <c r="L219" s="4"/>
      <c r="M219" s="4"/>
    </row>
    <row r="220" spans="1:13" x14ac:dyDescent="0.25">
      <c r="A220" s="4">
        <v>220</v>
      </c>
      <c r="B220" s="4"/>
      <c r="C220" s="19" t="s">
        <v>568</v>
      </c>
      <c r="D220" s="17" t="s">
        <v>252</v>
      </c>
      <c r="E220" s="4"/>
      <c r="F220" s="4"/>
      <c r="G220" s="4"/>
      <c r="H220" s="4"/>
      <c r="I220" s="4"/>
      <c r="J220" s="5"/>
      <c r="K220" s="5"/>
      <c r="L220" s="4"/>
      <c r="M220" s="4"/>
    </row>
    <row r="221" spans="1:13" x14ac:dyDescent="0.25">
      <c r="A221" s="4">
        <v>221</v>
      </c>
      <c r="B221" s="4"/>
      <c r="C221" s="19" t="s">
        <v>569</v>
      </c>
      <c r="D221" s="17" t="s">
        <v>253</v>
      </c>
      <c r="E221" s="4"/>
      <c r="F221" s="4"/>
      <c r="G221" s="4"/>
      <c r="H221" s="4"/>
      <c r="I221" s="4"/>
      <c r="J221" s="5"/>
      <c r="K221" s="5"/>
      <c r="L221" s="4"/>
      <c r="M221" s="4"/>
    </row>
    <row r="222" spans="1:13" x14ac:dyDescent="0.25">
      <c r="A222" s="4">
        <v>222</v>
      </c>
      <c r="B222" s="4"/>
      <c r="C222" s="19" t="s">
        <v>570</v>
      </c>
      <c r="D222" s="17" t="s">
        <v>254</v>
      </c>
      <c r="E222" s="4"/>
      <c r="F222" s="4"/>
      <c r="G222" s="4"/>
      <c r="H222" s="4"/>
      <c r="I222" s="4"/>
      <c r="J222" s="5"/>
      <c r="K222" s="5"/>
      <c r="L222" s="4"/>
      <c r="M222" s="4"/>
    </row>
    <row r="223" spans="1:13" x14ac:dyDescent="0.25">
      <c r="A223" s="4">
        <v>223</v>
      </c>
      <c r="B223" s="4"/>
      <c r="C223" s="19" t="s">
        <v>571</v>
      </c>
      <c r="D223" s="17" t="s">
        <v>255</v>
      </c>
      <c r="E223" s="4"/>
      <c r="F223" s="4"/>
      <c r="G223" s="4"/>
      <c r="H223" s="4"/>
      <c r="I223" s="4"/>
      <c r="J223" s="5"/>
      <c r="K223" s="5"/>
      <c r="L223" s="4"/>
      <c r="M223" s="4"/>
    </row>
    <row r="224" spans="1:13" x14ac:dyDescent="0.25">
      <c r="A224" s="4">
        <v>224</v>
      </c>
      <c r="B224" s="4"/>
      <c r="C224" s="19" t="s">
        <v>572</v>
      </c>
      <c r="D224" s="17" t="s">
        <v>256</v>
      </c>
      <c r="E224" s="4"/>
      <c r="F224" s="4"/>
      <c r="G224" s="4"/>
      <c r="H224" s="4"/>
      <c r="I224" s="4"/>
      <c r="J224" s="5"/>
      <c r="K224" s="5"/>
      <c r="L224" s="4"/>
      <c r="M224" s="4"/>
    </row>
    <row r="225" spans="1:13" x14ac:dyDescent="0.25">
      <c r="A225" s="4">
        <v>225</v>
      </c>
      <c r="B225" s="4"/>
      <c r="C225" s="19" t="s">
        <v>573</v>
      </c>
      <c r="D225" s="17" t="s">
        <v>257</v>
      </c>
      <c r="E225" s="4"/>
      <c r="F225" s="4"/>
      <c r="G225" s="4"/>
      <c r="H225" s="4"/>
      <c r="I225" s="4"/>
      <c r="J225" s="5"/>
      <c r="K225" s="5"/>
      <c r="L225" s="4"/>
      <c r="M225" s="4"/>
    </row>
    <row r="226" spans="1:13" x14ac:dyDescent="0.25">
      <c r="A226" s="4">
        <v>226</v>
      </c>
      <c r="B226" s="4"/>
      <c r="C226" s="19" t="s">
        <v>574</v>
      </c>
      <c r="D226" s="17" t="s">
        <v>258</v>
      </c>
      <c r="E226" s="4"/>
      <c r="F226" s="4"/>
      <c r="G226" s="4"/>
      <c r="H226" s="4"/>
      <c r="I226" s="4"/>
      <c r="J226" s="5"/>
      <c r="K226" s="5"/>
      <c r="L226" s="4"/>
      <c r="M226" s="4"/>
    </row>
    <row r="227" spans="1:13" x14ac:dyDescent="0.25">
      <c r="A227" s="4">
        <v>227</v>
      </c>
      <c r="B227" s="4"/>
      <c r="C227" s="19" t="s">
        <v>575</v>
      </c>
      <c r="D227" s="17" t="s">
        <v>259</v>
      </c>
      <c r="E227" s="4"/>
      <c r="F227" s="4"/>
      <c r="G227" s="4"/>
      <c r="H227" s="4"/>
      <c r="I227" s="4"/>
      <c r="J227" s="5"/>
      <c r="K227" s="5"/>
      <c r="L227" s="4"/>
      <c r="M227" s="4"/>
    </row>
    <row r="228" spans="1:13" x14ac:dyDescent="0.25">
      <c r="A228" s="4">
        <v>228</v>
      </c>
      <c r="B228" s="4"/>
      <c r="C228" s="19" t="s">
        <v>576</v>
      </c>
      <c r="D228" s="17" t="s">
        <v>260</v>
      </c>
      <c r="E228" s="4"/>
      <c r="F228" s="4"/>
      <c r="G228" s="4"/>
      <c r="H228" s="4"/>
      <c r="I228" s="4"/>
      <c r="J228" s="5"/>
      <c r="K228" s="5"/>
      <c r="L228" s="4"/>
      <c r="M228" s="4"/>
    </row>
    <row r="229" spans="1:13" x14ac:dyDescent="0.25">
      <c r="A229" s="4">
        <v>229</v>
      </c>
      <c r="B229" s="4"/>
      <c r="C229" s="19" t="s">
        <v>577</v>
      </c>
      <c r="D229" s="17" t="s">
        <v>261</v>
      </c>
      <c r="E229" s="4"/>
      <c r="F229" s="4"/>
      <c r="G229" s="4"/>
      <c r="H229" s="4"/>
      <c r="I229" s="4"/>
      <c r="J229" s="5"/>
      <c r="K229" s="5"/>
      <c r="L229" s="4"/>
      <c r="M229" s="4"/>
    </row>
    <row r="230" spans="1:13" x14ac:dyDescent="0.25">
      <c r="A230" s="4">
        <v>230</v>
      </c>
      <c r="B230" s="4"/>
      <c r="C230" s="19" t="s">
        <v>578</v>
      </c>
      <c r="D230" s="17" t="s">
        <v>262</v>
      </c>
      <c r="E230" s="4"/>
      <c r="F230" s="4"/>
      <c r="G230" s="4"/>
      <c r="H230" s="4"/>
      <c r="I230" s="4"/>
      <c r="J230" s="5"/>
      <c r="K230" s="5"/>
      <c r="L230" s="4"/>
      <c r="M230" s="4"/>
    </row>
    <row r="231" spans="1:13" x14ac:dyDescent="0.25">
      <c r="A231" s="4">
        <v>231</v>
      </c>
      <c r="B231" s="4"/>
      <c r="C231" s="19" t="s">
        <v>579</v>
      </c>
      <c r="D231" s="17" t="s">
        <v>263</v>
      </c>
      <c r="E231" s="4"/>
      <c r="F231" s="4"/>
      <c r="G231" s="4"/>
      <c r="H231" s="4"/>
      <c r="I231" s="4"/>
      <c r="J231" s="5"/>
      <c r="K231" s="5"/>
      <c r="L231" s="4"/>
      <c r="M231" s="4"/>
    </row>
    <row r="232" spans="1:13" x14ac:dyDescent="0.25">
      <c r="A232" s="4">
        <v>232</v>
      </c>
      <c r="B232" s="4"/>
      <c r="C232" s="19" t="s">
        <v>580</v>
      </c>
      <c r="D232" s="17" t="s">
        <v>264</v>
      </c>
      <c r="E232" s="4"/>
      <c r="F232" s="4"/>
      <c r="G232" s="4"/>
      <c r="H232" s="4"/>
      <c r="I232" s="4"/>
      <c r="J232" s="5"/>
      <c r="K232" s="5"/>
      <c r="L232" s="4"/>
      <c r="M232" s="4"/>
    </row>
    <row r="233" spans="1:13" x14ac:dyDescent="0.25">
      <c r="A233" s="4">
        <v>233</v>
      </c>
      <c r="B233" s="4"/>
      <c r="C233" s="19" t="s">
        <v>581</v>
      </c>
      <c r="D233" s="17" t="s">
        <v>265</v>
      </c>
      <c r="E233" s="4"/>
      <c r="F233" s="4"/>
      <c r="G233" s="4"/>
      <c r="H233" s="4"/>
      <c r="I233" s="4"/>
      <c r="J233" s="5"/>
      <c r="K233" s="5"/>
      <c r="L233" s="4"/>
      <c r="M233" s="4"/>
    </row>
    <row r="234" spans="1:13" x14ac:dyDescent="0.25">
      <c r="A234" s="4">
        <v>234</v>
      </c>
      <c r="B234" s="4"/>
      <c r="C234" s="19" t="s">
        <v>582</v>
      </c>
      <c r="D234" s="17" t="s">
        <v>266</v>
      </c>
      <c r="E234" s="4"/>
      <c r="F234" s="4"/>
      <c r="G234" s="4"/>
      <c r="H234" s="4"/>
      <c r="I234" s="4"/>
      <c r="J234" s="5"/>
      <c r="K234" s="5"/>
      <c r="L234" s="4"/>
      <c r="M234" s="4"/>
    </row>
    <row r="235" spans="1:13" x14ac:dyDescent="0.25">
      <c r="A235" s="4">
        <v>235</v>
      </c>
      <c r="B235" s="4"/>
      <c r="C235" s="19" t="s">
        <v>583</v>
      </c>
      <c r="D235" s="17" t="s">
        <v>267</v>
      </c>
      <c r="E235" s="4"/>
      <c r="F235" s="4"/>
      <c r="G235" s="4"/>
      <c r="H235" s="4"/>
      <c r="I235" s="4"/>
      <c r="J235" s="5"/>
      <c r="K235" s="5"/>
      <c r="L235" s="4"/>
      <c r="M235" s="4"/>
    </row>
    <row r="236" spans="1:13" x14ac:dyDescent="0.25">
      <c r="A236" s="4">
        <v>236</v>
      </c>
      <c r="B236" s="4"/>
      <c r="C236" s="19" t="s">
        <v>584</v>
      </c>
      <c r="D236" s="17" t="s">
        <v>268</v>
      </c>
      <c r="E236" s="4"/>
      <c r="F236" s="4"/>
      <c r="G236" s="4"/>
      <c r="H236" s="4"/>
      <c r="I236" s="4"/>
      <c r="J236" s="5"/>
      <c r="K236" s="5"/>
      <c r="L236" s="4"/>
      <c r="M236" s="4"/>
    </row>
    <row r="237" spans="1:13" x14ac:dyDescent="0.25">
      <c r="A237" s="4">
        <v>237</v>
      </c>
      <c r="B237" s="4"/>
      <c r="C237" s="19" t="s">
        <v>585</v>
      </c>
      <c r="D237" s="17" t="s">
        <v>269</v>
      </c>
      <c r="E237" s="4"/>
      <c r="F237" s="4"/>
      <c r="G237" s="4"/>
      <c r="H237" s="4"/>
      <c r="I237" s="4"/>
      <c r="J237" s="5"/>
      <c r="K237" s="5"/>
      <c r="L237" s="4"/>
      <c r="M237" s="4"/>
    </row>
    <row r="238" spans="1:13" x14ac:dyDescent="0.25">
      <c r="A238" s="4">
        <v>238</v>
      </c>
      <c r="B238" s="4"/>
      <c r="C238" s="19" t="s">
        <v>586</v>
      </c>
      <c r="D238" s="17" t="s">
        <v>270</v>
      </c>
      <c r="E238" s="4"/>
      <c r="F238" s="4"/>
      <c r="G238" s="4"/>
      <c r="H238" s="4"/>
      <c r="I238" s="4"/>
      <c r="J238" s="5"/>
      <c r="K238" s="5"/>
      <c r="L238" s="4"/>
      <c r="M238" s="4"/>
    </row>
    <row r="239" spans="1:13" x14ac:dyDescent="0.25">
      <c r="A239" s="4">
        <v>239</v>
      </c>
      <c r="B239" s="4"/>
      <c r="C239" s="19" t="s">
        <v>587</v>
      </c>
      <c r="D239" s="17" t="s">
        <v>271</v>
      </c>
      <c r="E239" s="4"/>
      <c r="F239" s="4"/>
      <c r="G239" s="4"/>
      <c r="H239" s="4"/>
      <c r="I239" s="4"/>
      <c r="J239" s="5"/>
      <c r="K239" s="5"/>
      <c r="L239" s="4"/>
      <c r="M239" s="4"/>
    </row>
    <row r="240" spans="1:13" x14ac:dyDescent="0.25">
      <c r="A240" s="4">
        <v>240</v>
      </c>
      <c r="B240" s="4"/>
      <c r="C240" s="19" t="s">
        <v>588</v>
      </c>
      <c r="D240" s="17" t="s">
        <v>272</v>
      </c>
      <c r="E240" s="4"/>
      <c r="F240" s="4"/>
      <c r="G240" s="4"/>
      <c r="H240" s="4"/>
      <c r="I240" s="4"/>
      <c r="J240" s="5"/>
      <c r="K240" s="5"/>
      <c r="L240" s="4"/>
      <c r="M240" s="4"/>
    </row>
    <row r="241" spans="1:13" x14ac:dyDescent="0.25">
      <c r="A241" s="4">
        <v>241</v>
      </c>
      <c r="B241" s="4"/>
      <c r="C241" s="19" t="s">
        <v>589</v>
      </c>
      <c r="D241" s="17" t="s">
        <v>273</v>
      </c>
      <c r="E241" s="4"/>
      <c r="F241" s="4"/>
      <c r="G241" s="4"/>
      <c r="H241" s="4"/>
      <c r="I241" s="4"/>
      <c r="J241" s="5"/>
      <c r="K241" s="5"/>
      <c r="L241" s="4"/>
      <c r="M241" s="4"/>
    </row>
    <row r="242" spans="1:13" x14ac:dyDescent="0.25">
      <c r="A242" s="4">
        <v>242</v>
      </c>
      <c r="B242" s="4"/>
      <c r="C242" s="19" t="s">
        <v>590</v>
      </c>
      <c r="D242" s="17" t="s">
        <v>274</v>
      </c>
      <c r="E242" s="4"/>
      <c r="F242" s="4"/>
      <c r="G242" s="4"/>
      <c r="H242" s="4"/>
      <c r="I242" s="4"/>
      <c r="J242" s="5"/>
      <c r="K242" s="5"/>
      <c r="L242" s="4"/>
      <c r="M242" s="4"/>
    </row>
    <row r="243" spans="1:13" x14ac:dyDescent="0.25">
      <c r="A243" s="4">
        <v>243</v>
      </c>
      <c r="B243" s="4"/>
      <c r="C243" s="19" t="s">
        <v>591</v>
      </c>
      <c r="D243" s="17" t="s">
        <v>275</v>
      </c>
      <c r="E243" s="4"/>
      <c r="F243" s="4"/>
      <c r="G243" s="4"/>
      <c r="H243" s="4"/>
      <c r="I243" s="4"/>
      <c r="J243" s="5"/>
      <c r="K243" s="5"/>
      <c r="L243" s="4"/>
      <c r="M243" s="4"/>
    </row>
    <row r="244" spans="1:13" x14ac:dyDescent="0.25">
      <c r="A244" s="4">
        <v>244</v>
      </c>
      <c r="B244" s="4"/>
      <c r="C244" s="19" t="s">
        <v>592</v>
      </c>
      <c r="D244" s="17" t="s">
        <v>276</v>
      </c>
      <c r="E244" s="4"/>
      <c r="F244" s="4"/>
      <c r="G244" s="4"/>
      <c r="H244" s="4"/>
      <c r="I244" s="4"/>
      <c r="J244" s="5"/>
      <c r="K244" s="5"/>
      <c r="L244" s="4"/>
      <c r="M244" s="4"/>
    </row>
    <row r="245" spans="1:13" x14ac:dyDescent="0.25">
      <c r="A245" s="4">
        <v>245</v>
      </c>
      <c r="B245" s="4"/>
      <c r="C245" s="19" t="s">
        <v>593</v>
      </c>
      <c r="D245" s="17" t="s">
        <v>277</v>
      </c>
      <c r="E245" s="4"/>
      <c r="F245" s="4"/>
      <c r="G245" s="4"/>
      <c r="H245" s="4"/>
      <c r="I245" s="4"/>
      <c r="J245" s="5"/>
      <c r="K245" s="5"/>
      <c r="L245" s="4"/>
      <c r="M245" s="4"/>
    </row>
    <row r="246" spans="1:13" x14ac:dyDescent="0.25">
      <c r="A246" s="4">
        <v>246</v>
      </c>
      <c r="B246" s="4"/>
      <c r="C246" s="19" t="s">
        <v>594</v>
      </c>
      <c r="D246" s="17" t="s">
        <v>278</v>
      </c>
      <c r="E246" s="4"/>
      <c r="F246" s="4"/>
      <c r="G246" s="4"/>
      <c r="H246" s="4"/>
      <c r="I246" s="4"/>
      <c r="J246" s="5"/>
      <c r="K246" s="5"/>
      <c r="L246" s="4"/>
      <c r="M246" s="4"/>
    </row>
    <row r="247" spans="1:13" x14ac:dyDescent="0.25">
      <c r="A247" s="4">
        <v>247</v>
      </c>
      <c r="B247" s="4"/>
      <c r="C247" s="19" t="s">
        <v>595</v>
      </c>
      <c r="D247" s="17" t="s">
        <v>279</v>
      </c>
      <c r="E247" s="4"/>
      <c r="F247" s="4"/>
      <c r="G247" s="4"/>
      <c r="H247" s="4"/>
      <c r="I247" s="4"/>
      <c r="J247" s="5"/>
      <c r="K247" s="5"/>
      <c r="L247" s="4"/>
      <c r="M247" s="4"/>
    </row>
    <row r="248" spans="1:13" x14ac:dyDescent="0.25">
      <c r="A248" s="4">
        <v>248</v>
      </c>
      <c r="B248" s="4"/>
      <c r="C248" s="19" t="s">
        <v>596</v>
      </c>
      <c r="D248" s="17" t="s">
        <v>280</v>
      </c>
      <c r="E248" s="4"/>
      <c r="F248" s="4"/>
      <c r="G248" s="4"/>
      <c r="H248" s="4"/>
      <c r="I248" s="4"/>
      <c r="J248" s="5"/>
      <c r="K248" s="5"/>
      <c r="L248" s="4"/>
      <c r="M248" s="4"/>
    </row>
    <row r="249" spans="1:13" x14ac:dyDescent="0.25">
      <c r="A249" s="4">
        <v>249</v>
      </c>
      <c r="B249" s="4"/>
      <c r="C249" s="19" t="s">
        <v>597</v>
      </c>
      <c r="D249" s="17" t="s">
        <v>281</v>
      </c>
      <c r="E249" s="4"/>
      <c r="F249" s="4"/>
      <c r="G249" s="4"/>
      <c r="H249" s="4"/>
      <c r="I249" s="4"/>
      <c r="J249" s="5"/>
      <c r="K249" s="5"/>
      <c r="L249" s="4"/>
      <c r="M249" s="4"/>
    </row>
    <row r="250" spans="1:13" x14ac:dyDescent="0.25">
      <c r="C250" s="25" t="s">
        <v>706</v>
      </c>
      <c r="D250" s="17" t="s">
        <v>730</v>
      </c>
    </row>
    <row r="251" spans="1:13" x14ac:dyDescent="0.25">
      <c r="C251" s="32" t="s">
        <v>933</v>
      </c>
      <c r="D251" s="31" t="s">
        <v>932</v>
      </c>
    </row>
    <row r="252" spans="1:13" x14ac:dyDescent="0.25">
      <c r="C252" s="32" t="s">
        <v>940</v>
      </c>
      <c r="D252" s="31" t="s">
        <v>939</v>
      </c>
    </row>
    <row r="253" spans="1:13" x14ac:dyDescent="0.25">
      <c r="C253" s="32" t="s">
        <v>974</v>
      </c>
      <c r="D253" s="31" t="s">
        <v>975</v>
      </c>
    </row>
    <row r="254" spans="1:13" x14ac:dyDescent="0.25">
      <c r="C254" s="32" t="s">
        <v>977</v>
      </c>
      <c r="D254" s="31" t="s">
        <v>980</v>
      </c>
    </row>
  </sheetData>
  <mergeCells count="4">
    <mergeCell ref="B2:B8"/>
    <mergeCell ref="B9:B11"/>
    <mergeCell ref="B12:B17"/>
    <mergeCell ref="B18:B19"/>
  </mergeCells>
  <hyperlinks>
    <hyperlink ref="L2" r:id="rId1" xr:uid="{9CEE70F1-F5D3-416E-A89B-9039F3483C9B}"/>
    <hyperlink ref="M2" r:id="rId2" xr:uid="{A39ACBD9-2F59-4636-8EFD-7DBE4912DD74}"/>
    <hyperlink ref="L3" r:id="rId3" xr:uid="{230C5EA0-4321-4AAD-9AD0-FDCAF71D5CB6}"/>
    <hyperlink ref="M3" r:id="rId4" xr:uid="{A6313822-0D48-46D5-8D9D-6C6876CF652A}"/>
    <hyperlink ref="L9" r:id="rId5" xr:uid="{C46E9AC3-9B91-42BE-AA69-824BEEB08083}"/>
    <hyperlink ref="M9" r:id="rId6" xr:uid="{F1C48B23-10BC-4A0A-9F65-28C8EA173FB0}"/>
    <hyperlink ref="L10" r:id="rId7" xr:uid="{C2F679FC-64A0-4C7B-A97C-6F0134AAAECD}"/>
    <hyperlink ref="M10" r:id="rId8" xr:uid="{7A0AB86F-D74B-4F48-AE18-50BFC9013691}"/>
    <hyperlink ref="L11" r:id="rId9" xr:uid="{02FF8DE5-5A83-457A-940D-0BFCA5ADFDF2}"/>
    <hyperlink ref="M11" r:id="rId10" xr:uid="{C1F92A6E-0712-4281-B9E5-BE4F1F5EE94E}"/>
    <hyperlink ref="L12" r:id="rId11" xr:uid="{64D7C39E-18BB-47E1-A181-0B5F91D519FC}"/>
    <hyperlink ref="M12" r:id="rId12" xr:uid="{260AE1F2-ECCB-4E05-A36D-7B93B7A4F7ED}"/>
    <hyperlink ref="L14" r:id="rId13" xr:uid="{90388AB4-7F16-4C22-9F53-DA84156B9D67}"/>
    <hyperlink ref="M14" r:id="rId14" xr:uid="{F0370F38-DBBA-4F58-A679-1AB525AD18D5}"/>
    <hyperlink ref="L16" r:id="rId15" xr:uid="{63787A39-99F1-4328-BAFA-456063C633EA}"/>
    <hyperlink ref="M16" r:id="rId16" xr:uid="{54BD3D6C-7A1F-482B-BDA6-0CD16AC1F3DE}"/>
    <hyperlink ref="L19" r:id="rId17" xr:uid="{FF0CF3C0-B873-4AF6-B3C9-4C11EA914281}"/>
    <hyperlink ref="M18" r:id="rId18" xr:uid="{1BEF0721-FF86-4A34-86E6-5C5FE6567623}"/>
    <hyperlink ref="L18" r:id="rId19" xr:uid="{E0177819-99AA-4740-9128-AB5B5C1E0AEC}"/>
    <hyperlink ref="M19" r:id="rId20" xr:uid="{7F862270-9699-4882-9855-312EDBA9CC15}"/>
    <hyperlink ref="L20" r:id="rId21" xr:uid="{543E5ECF-D338-4550-A805-3D9E829EB99D}"/>
    <hyperlink ref="M20" r:id="rId22" xr:uid="{EF75D35B-636F-4538-84B6-773551813D07}"/>
    <hyperlink ref="L22" r:id="rId23" xr:uid="{462B186D-C041-420F-9DC4-DE7183BA1F85}"/>
    <hyperlink ref="M22" r:id="rId24" xr:uid="{54BB39EA-8E4C-4DE8-BA24-F5BD076B1924}"/>
    <hyperlink ref="L23" r:id="rId25" xr:uid="{EDE2E341-B883-4D47-92D6-E1E6DF03B8F8}"/>
    <hyperlink ref="M23" r:id="rId26" xr:uid="{A4EE6FAB-9C35-422A-8BE8-9AC2C02B7F87}"/>
    <hyperlink ref="L24" r:id="rId27" xr:uid="{3F09F690-9A4F-48ED-86A7-B7E7280AB26E}"/>
    <hyperlink ref="M24" r:id="rId28" xr:uid="{F12623D6-16C1-4C34-913D-15A04A885348}"/>
    <hyperlink ref="L25" r:id="rId29" xr:uid="{E833A073-C0E4-49D8-9D2A-E4CE7D194524}"/>
    <hyperlink ref="M25" r:id="rId30" xr:uid="{595ED5C7-1778-4AFF-B920-777E69ED3346}"/>
    <hyperlink ref="L51" r:id="rId31" xr:uid="{FB9F6AA6-5465-4301-829E-8944AC810AF7}"/>
    <hyperlink ref="M51" r:id="rId32" xr:uid="{1ECE52A1-5C54-4A83-AECB-4ACF804F9CEB}"/>
    <hyperlink ref="L55" r:id="rId33" xr:uid="{987184DC-B169-4F9A-A803-A8628D442286}"/>
    <hyperlink ref="M55" r:id="rId34" xr:uid="{9EC3BB64-7D02-4B67-AF6A-DAAEC46ACAB2}"/>
    <hyperlink ref="L21" r:id="rId35" xr:uid="{6441C41A-99E3-43AB-9DA4-3A1255FF20D6}"/>
    <hyperlink ref="M21" r:id="rId36" xr:uid="{FA34372D-2C8E-4B2C-AE41-F0575D3A039B}"/>
    <hyperlink ref="L28" r:id="rId37" xr:uid="{6E1102FA-4037-42A4-976B-4E32F72B3496}"/>
    <hyperlink ref="L29" r:id="rId38" xr:uid="{BE70A1FF-D893-4892-9EC6-5BB41F92E8A5}"/>
    <hyperlink ref="M29" r:id="rId39" xr:uid="{2D22CD36-0EF5-4B43-9C09-C1E8A4AA1289}"/>
    <hyperlink ref="L30" r:id="rId40" xr:uid="{FB13858C-79B0-421F-92CF-B545768190CA}"/>
    <hyperlink ref="M30" r:id="rId41" xr:uid="{474B751A-5BEA-497A-943D-959975330CEF}"/>
    <hyperlink ref="L78" r:id="rId42" xr:uid="{FDB18DF6-3629-48C5-8A6B-1F2299E6C08A}"/>
    <hyperlink ref="M78" r:id="rId43" xr:uid="{85BD93E5-6384-4CF5-80CE-8D412C7852CA}"/>
    <hyperlink ref="L13" r:id="rId44" xr:uid="{857AB6FC-E368-40E9-A1EA-37B8B3B7F681}"/>
    <hyperlink ref="M13" r:id="rId45" xr:uid="{9570DD89-D2C6-4DCA-8DA6-5E60EC92E3A0}"/>
    <hyperlink ref="L15" r:id="rId46" xr:uid="{16A02751-B3FF-4D33-A67D-663E0D6F5962}"/>
    <hyperlink ref="M15" r:id="rId47" xr:uid="{5C780D2C-5C2B-4F3B-A9C2-435ABDA8F009}"/>
  </hyperlinks>
  <pageMargins left="0.7" right="0.7" top="0.75" bottom="0.75" header="0.3" footer="0.3"/>
  <pageSetup paperSize="9" orientation="landscape"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76DB-35A0-410A-A1CA-46375DF356D2}">
  <sheetPr>
    <pageSetUpPr fitToPage="1"/>
  </sheetPr>
  <dimension ref="A1:R682"/>
  <sheetViews>
    <sheetView zoomScale="85" zoomScaleNormal="85" workbookViewId="0">
      <selection sqref="A1:I291"/>
    </sheetView>
  </sheetViews>
  <sheetFormatPr defaultRowHeight="15" x14ac:dyDescent="0.25"/>
  <cols>
    <col min="1" max="1" width="7.85546875" customWidth="1"/>
    <col min="2" max="2" width="18.42578125" style="33" bestFit="1" customWidth="1"/>
    <col min="3" max="3" width="21.7109375" style="48" customWidth="1"/>
    <col min="4" max="4" width="19.85546875" style="37" customWidth="1"/>
    <col min="5" max="5" width="24.140625" style="49" customWidth="1"/>
    <col min="6" max="6" width="17.85546875" bestFit="1" customWidth="1"/>
    <col min="7" max="7" width="26.140625" bestFit="1" customWidth="1"/>
    <col min="8" max="8" width="19.140625" style="39" customWidth="1"/>
    <col min="9" max="9" width="23" customWidth="1"/>
    <col min="10" max="10" width="19" hidden="1" customWidth="1"/>
    <col min="11" max="11" width="16" hidden="1" customWidth="1"/>
    <col min="12" max="12" width="1" hidden="1" customWidth="1"/>
  </cols>
  <sheetData>
    <row r="1" spans="1:12" ht="37.5" x14ac:dyDescent="0.3">
      <c r="A1" s="60" t="s">
        <v>285</v>
      </c>
      <c r="B1" s="60" t="s">
        <v>598</v>
      </c>
      <c r="C1" s="60" t="s">
        <v>962</v>
      </c>
      <c r="D1" s="61" t="s">
        <v>286</v>
      </c>
      <c r="E1" s="62" t="s">
        <v>284</v>
      </c>
      <c r="F1" s="62" t="s">
        <v>309</v>
      </c>
      <c r="G1" s="62" t="s">
        <v>287</v>
      </c>
      <c r="H1" s="63" t="s">
        <v>288</v>
      </c>
      <c r="I1" s="62" t="s">
        <v>289</v>
      </c>
      <c r="J1" s="26" t="s">
        <v>981</v>
      </c>
      <c r="K1" s="26" t="s">
        <v>982</v>
      </c>
    </row>
    <row r="2" spans="1:12" ht="45" hidden="1" x14ac:dyDescent="0.25">
      <c r="A2" s="43">
        <v>1</v>
      </c>
      <c r="B2" s="43" t="str">
        <f>Company_Master!C2</f>
        <v>C-001</v>
      </c>
      <c r="C2" s="52" t="str">
        <f>INDEX(Com_Scr!C:C,MATCH(Employee_Master!B:B,Com_Scr!B:B))</f>
        <v>DESERT WAVES CLEANING SERVICES - L.L.C - S.P.C</v>
      </c>
      <c r="D2" s="38">
        <v>784196504047612</v>
      </c>
      <c r="E2" s="53" t="s">
        <v>290</v>
      </c>
      <c r="F2" s="26">
        <v>136762071</v>
      </c>
      <c r="G2" s="27">
        <v>46838</v>
      </c>
      <c r="H2" s="36">
        <v>46817</v>
      </c>
      <c r="I2" s="26" t="s">
        <v>310</v>
      </c>
      <c r="J2" s="26"/>
      <c r="K2" s="26"/>
      <c r="L2" s="50"/>
    </row>
    <row r="3" spans="1:12" ht="45" hidden="1" x14ac:dyDescent="0.25">
      <c r="A3" s="43">
        <v>2</v>
      </c>
      <c r="B3" s="43" t="str">
        <f>Company_Master!C2</f>
        <v>C-001</v>
      </c>
      <c r="C3" s="52" t="str">
        <f>INDEX(Com_Scr!C:C,MATCH(Employee_Master!B:B,Com_Scr!B:B))</f>
        <v>DESERT WAVES CLEANING SERVICES - L.L.C - S.P.C</v>
      </c>
      <c r="D3" s="38">
        <v>784197808517540</v>
      </c>
      <c r="E3" s="53" t="s">
        <v>291</v>
      </c>
      <c r="F3" s="26">
        <v>137448310</v>
      </c>
      <c r="G3" s="27">
        <v>46834</v>
      </c>
      <c r="H3" s="36">
        <v>46836</v>
      </c>
      <c r="I3" s="54" t="s">
        <v>310</v>
      </c>
      <c r="J3" s="26"/>
      <c r="K3" s="26"/>
      <c r="L3" s="50"/>
    </row>
    <row r="4" spans="1:12" ht="45" hidden="1" x14ac:dyDescent="0.25">
      <c r="A4" s="43">
        <v>3</v>
      </c>
      <c r="B4" s="43" t="str">
        <f>Company_Master!C2</f>
        <v>C-001</v>
      </c>
      <c r="C4" s="52" t="str">
        <f>INDEX(Com_Scr!C:C,MATCH(Employee_Master!B:B,Com_Scr!B:B))</f>
        <v>DESERT WAVES CLEANING SERVICES - L.L.C - S.P.C</v>
      </c>
      <c r="D4" s="38">
        <v>784197079326860</v>
      </c>
      <c r="E4" s="53" t="s">
        <v>292</v>
      </c>
      <c r="F4" s="26">
        <v>135286381</v>
      </c>
      <c r="G4" s="27">
        <v>46765</v>
      </c>
      <c r="H4" s="36">
        <v>46769</v>
      </c>
      <c r="I4" s="26" t="s">
        <v>310</v>
      </c>
      <c r="J4" s="26"/>
      <c r="K4" s="26"/>
      <c r="L4" s="50"/>
    </row>
    <row r="5" spans="1:12" ht="45" hidden="1" x14ac:dyDescent="0.25">
      <c r="A5" s="43">
        <v>4</v>
      </c>
      <c r="B5" s="43" t="s">
        <v>350</v>
      </c>
      <c r="C5" s="52" t="str">
        <f>INDEX(Com_Scr!C:C,MATCH(Employee_Master!B:B,Com_Scr!B:B))</f>
        <v>DESERT WAVES CLEANING SERVICES - L.L.C - S.P.C</v>
      </c>
      <c r="D5" s="38">
        <v>784197153038258</v>
      </c>
      <c r="E5" s="53" t="s">
        <v>293</v>
      </c>
      <c r="F5" s="26">
        <v>131163975</v>
      </c>
      <c r="G5" s="27">
        <v>46670</v>
      </c>
      <c r="H5" s="36">
        <v>46653</v>
      </c>
      <c r="I5" s="54" t="s">
        <v>310</v>
      </c>
      <c r="J5" s="26"/>
      <c r="K5" s="26"/>
      <c r="L5" s="50"/>
    </row>
    <row r="6" spans="1:12" ht="45" hidden="1" x14ac:dyDescent="0.25">
      <c r="A6" s="43">
        <v>5</v>
      </c>
      <c r="B6" s="43" t="s">
        <v>350</v>
      </c>
      <c r="C6" s="52" t="str">
        <f>INDEX(Com_Scr!C:C,MATCH(Employee_Master!B:B,Com_Scr!B:B))</f>
        <v>DESERT WAVES CLEANING SERVICES - L.L.C - S.P.C</v>
      </c>
      <c r="D6" s="38">
        <v>784199076043175</v>
      </c>
      <c r="E6" s="53" t="s">
        <v>294</v>
      </c>
      <c r="F6" s="26">
        <v>136711384</v>
      </c>
      <c r="G6" s="27">
        <v>46817</v>
      </c>
      <c r="H6" s="36">
        <v>46814</v>
      </c>
      <c r="I6" s="26" t="s">
        <v>310</v>
      </c>
      <c r="J6" s="26"/>
      <c r="K6" s="26"/>
      <c r="L6" s="50"/>
    </row>
    <row r="7" spans="1:12" ht="45" hidden="1" x14ac:dyDescent="0.25">
      <c r="A7" s="43">
        <v>6</v>
      </c>
      <c r="B7" s="43" t="s">
        <v>350</v>
      </c>
      <c r="C7" s="52" t="str">
        <f>INDEX(Com_Scr!C:C,MATCH(Employee_Master!B:B,Com_Scr!B:B))</f>
        <v>DESERT WAVES CLEANING SERVICES - L.L.C - S.P.C</v>
      </c>
      <c r="D7" s="38">
        <v>784197409092570</v>
      </c>
      <c r="E7" s="53" t="s">
        <v>295</v>
      </c>
      <c r="F7" s="26">
        <v>132793948</v>
      </c>
      <c r="G7" s="29">
        <v>46698</v>
      </c>
      <c r="H7" s="36">
        <v>46702</v>
      </c>
      <c r="I7" s="54" t="s">
        <v>310</v>
      </c>
      <c r="J7" s="26"/>
      <c r="K7" s="26"/>
      <c r="L7" s="50"/>
    </row>
    <row r="8" spans="1:12" ht="45" hidden="1" x14ac:dyDescent="0.25">
      <c r="A8" s="43">
        <v>7</v>
      </c>
      <c r="B8" s="43" t="s">
        <v>350</v>
      </c>
      <c r="C8" s="52" t="str">
        <f>INDEX(Com_Scr!C:C,MATCH(Employee_Master!B:B,Com_Scr!B:B))</f>
        <v>DESERT WAVES CLEANING SERVICES - L.L.C - S.P.C</v>
      </c>
      <c r="D8" s="38">
        <v>784197061647547</v>
      </c>
      <c r="E8" s="53" t="s">
        <v>296</v>
      </c>
      <c r="F8" s="26">
        <v>132793948</v>
      </c>
      <c r="G8" s="27">
        <v>47064</v>
      </c>
      <c r="H8" s="36">
        <v>46665</v>
      </c>
      <c r="I8" s="26" t="s">
        <v>310</v>
      </c>
      <c r="J8" s="26"/>
      <c r="K8" s="26"/>
      <c r="L8" s="50"/>
    </row>
    <row r="9" spans="1:12" ht="45" hidden="1" x14ac:dyDescent="0.25">
      <c r="A9" s="43">
        <v>8</v>
      </c>
      <c r="B9" s="43" t="s">
        <v>350</v>
      </c>
      <c r="C9" s="52" t="str">
        <f>INDEX(Com_Scr!C:C,MATCH(Employee_Master!B:B,Com_Scr!B:B))</f>
        <v>DESERT WAVES CLEANING SERVICES - L.L.C - S.P.C</v>
      </c>
      <c r="D9" s="38">
        <v>784198739682858</v>
      </c>
      <c r="E9" s="53" t="s">
        <v>297</v>
      </c>
      <c r="F9" s="26">
        <v>139214754</v>
      </c>
      <c r="G9" s="27">
        <v>46634</v>
      </c>
      <c r="H9" s="36">
        <v>46598</v>
      </c>
      <c r="I9" s="54" t="s">
        <v>310</v>
      </c>
      <c r="J9" s="26"/>
      <c r="K9" s="26"/>
      <c r="L9" s="50"/>
    </row>
    <row r="10" spans="1:12" ht="45" hidden="1" x14ac:dyDescent="0.25">
      <c r="A10" s="43">
        <v>9</v>
      </c>
      <c r="B10" s="43" t="s">
        <v>350</v>
      </c>
      <c r="C10" s="52" t="str">
        <f>INDEX(Com_Scr!C:C,MATCH(Employee_Master!B:B,Com_Scr!B:B))</f>
        <v>DESERT WAVES CLEANING SERVICES - L.L.C - S.P.C</v>
      </c>
      <c r="D10" s="38">
        <v>784198995296179</v>
      </c>
      <c r="E10" s="53" t="s">
        <v>298</v>
      </c>
      <c r="F10" s="26">
        <v>114255725</v>
      </c>
      <c r="G10" s="27">
        <v>46129</v>
      </c>
      <c r="H10" s="36">
        <v>46150</v>
      </c>
      <c r="I10" s="26" t="s">
        <v>310</v>
      </c>
      <c r="J10" s="26"/>
      <c r="K10" s="26"/>
      <c r="L10" s="50"/>
    </row>
    <row r="11" spans="1:12" ht="45" hidden="1" x14ac:dyDescent="0.25">
      <c r="A11" s="43">
        <v>10</v>
      </c>
      <c r="B11" s="43" t="s">
        <v>350</v>
      </c>
      <c r="C11" s="52" t="str">
        <f>INDEX(Com_Scr!C:C,MATCH(Employee_Master!B:B,Com_Scr!B:B))</f>
        <v>DESERT WAVES CLEANING SERVICES - L.L.C - S.P.C</v>
      </c>
      <c r="D11" s="38">
        <v>784197770206437</v>
      </c>
      <c r="E11" s="53" t="s">
        <v>299</v>
      </c>
      <c r="F11" s="26">
        <v>131263621</v>
      </c>
      <c r="G11" s="27">
        <v>46670</v>
      </c>
      <c r="H11" s="36">
        <v>46658</v>
      </c>
      <c r="I11" s="54" t="s">
        <v>310</v>
      </c>
      <c r="J11" s="26"/>
      <c r="K11" s="26"/>
      <c r="L11" s="50"/>
    </row>
    <row r="12" spans="1:12" ht="45" hidden="1" x14ac:dyDescent="0.25">
      <c r="A12" s="43">
        <v>11</v>
      </c>
      <c r="B12" s="43" t="s">
        <v>350</v>
      </c>
      <c r="C12" s="52" t="str">
        <f>INDEX(Com_Scr!C:C,MATCH(Employee_Master!B:B,Com_Scr!B:B))</f>
        <v>DESERT WAVES CLEANING SERVICES - L.L.C - S.P.C</v>
      </c>
      <c r="D12" s="38">
        <v>784198913696302</v>
      </c>
      <c r="E12" s="53" t="s">
        <v>300</v>
      </c>
      <c r="F12" s="26">
        <v>115100002</v>
      </c>
      <c r="G12" s="27">
        <v>46139</v>
      </c>
      <c r="H12" s="36">
        <v>46151</v>
      </c>
      <c r="I12" s="26" t="s">
        <v>310</v>
      </c>
      <c r="J12" s="26"/>
      <c r="K12" s="26"/>
      <c r="L12" s="50"/>
    </row>
    <row r="13" spans="1:12" ht="45" hidden="1" x14ac:dyDescent="0.25">
      <c r="A13" s="43">
        <v>12</v>
      </c>
      <c r="B13" s="43" t="s">
        <v>350</v>
      </c>
      <c r="C13" s="52" t="str">
        <f>INDEX(Com_Scr!C:C,MATCH(Employee_Master!B:B,Com_Scr!B:B))</f>
        <v>DESERT WAVES CLEANING SERVICES - L.L.C - S.P.C</v>
      </c>
      <c r="D13" s="38">
        <v>784196974146092</v>
      </c>
      <c r="E13" s="53" t="s">
        <v>301</v>
      </c>
      <c r="F13" s="26">
        <v>133237182</v>
      </c>
      <c r="G13" s="27">
        <v>46713</v>
      </c>
      <c r="H13" s="36">
        <v>46716</v>
      </c>
      <c r="I13" s="54" t="s">
        <v>310</v>
      </c>
      <c r="J13" s="26"/>
      <c r="K13" s="26"/>
      <c r="L13" s="50"/>
    </row>
    <row r="14" spans="1:12" ht="45" hidden="1" x14ac:dyDescent="0.25">
      <c r="A14" s="43">
        <v>13</v>
      </c>
      <c r="B14" s="43" t="s">
        <v>350</v>
      </c>
      <c r="C14" s="52" t="str">
        <f>INDEX(Com_Scr!C:C,MATCH(Employee_Master!B:B,Com_Scr!B:B))</f>
        <v>DESERT WAVES CLEANING SERVICES - L.L.C - S.P.C</v>
      </c>
      <c r="D14" s="38">
        <v>784199092483843</v>
      </c>
      <c r="E14" s="53" t="s">
        <v>302</v>
      </c>
      <c r="F14" s="26">
        <v>118623204</v>
      </c>
      <c r="G14" s="27">
        <v>46303</v>
      </c>
      <c r="H14" s="36">
        <v>46305</v>
      </c>
      <c r="I14" s="26" t="s">
        <v>310</v>
      </c>
      <c r="J14" s="26"/>
      <c r="K14" s="26"/>
      <c r="L14" s="50"/>
    </row>
    <row r="15" spans="1:12" ht="45" hidden="1" x14ac:dyDescent="0.25">
      <c r="A15" s="43">
        <v>14</v>
      </c>
      <c r="B15" s="43" t="s">
        <v>350</v>
      </c>
      <c r="C15" s="52" t="str">
        <f>INDEX(Com_Scr!C:C,MATCH(Employee_Master!B:B,Com_Scr!B:B))</f>
        <v>DESERT WAVES CLEANING SERVICES - L.L.C - S.P.C</v>
      </c>
      <c r="D15" s="38">
        <v>784198659209609</v>
      </c>
      <c r="E15" s="53" t="s">
        <v>303</v>
      </c>
      <c r="F15" s="26">
        <v>136182939</v>
      </c>
      <c r="G15" s="27">
        <v>46796</v>
      </c>
      <c r="H15" s="36">
        <v>46796</v>
      </c>
      <c r="I15" s="54" t="s">
        <v>310</v>
      </c>
      <c r="J15" s="26"/>
      <c r="K15" s="26"/>
      <c r="L15" s="50"/>
    </row>
    <row r="16" spans="1:12" ht="45" hidden="1" x14ac:dyDescent="0.25">
      <c r="A16" s="43">
        <v>15</v>
      </c>
      <c r="B16" s="43" t="s">
        <v>350</v>
      </c>
      <c r="C16" s="52" t="str">
        <f>INDEX(Com_Scr!C:C,MATCH(Employee_Master!B:B,Com_Scr!B:B))</f>
        <v>DESERT WAVES CLEANING SERVICES - L.L.C - S.P.C</v>
      </c>
      <c r="D16" s="38">
        <v>784198665153833</v>
      </c>
      <c r="E16" s="53" t="s">
        <v>304</v>
      </c>
      <c r="F16" s="26">
        <v>118433175</v>
      </c>
      <c r="G16" s="27">
        <v>46296</v>
      </c>
      <c r="H16" s="36">
        <v>46183</v>
      </c>
      <c r="I16" s="26" t="s">
        <v>310</v>
      </c>
      <c r="J16" s="26"/>
      <c r="K16" s="26"/>
      <c r="L16" s="50"/>
    </row>
    <row r="17" spans="1:12" ht="45" hidden="1" x14ac:dyDescent="0.25">
      <c r="A17" s="43">
        <v>16</v>
      </c>
      <c r="B17" s="43" t="s">
        <v>350</v>
      </c>
      <c r="C17" s="52" t="str">
        <f>INDEX(Com_Scr!C:C,MATCH(Employee_Master!B:B,Com_Scr!B:B))</f>
        <v>DESERT WAVES CLEANING SERVICES - L.L.C - S.P.C</v>
      </c>
      <c r="D17" s="38">
        <v>784199545622690</v>
      </c>
      <c r="E17" s="53" t="s">
        <v>305</v>
      </c>
      <c r="F17" s="26">
        <v>136886034</v>
      </c>
      <c r="G17" s="27">
        <v>46817</v>
      </c>
      <c r="H17" s="36">
        <v>46999</v>
      </c>
      <c r="I17" s="54" t="s">
        <v>310</v>
      </c>
      <c r="J17" s="26"/>
      <c r="K17" s="26"/>
      <c r="L17" s="50"/>
    </row>
    <row r="18" spans="1:12" ht="45" hidden="1" x14ac:dyDescent="0.25">
      <c r="A18" s="43">
        <v>17</v>
      </c>
      <c r="B18" s="43" t="s">
        <v>350</v>
      </c>
      <c r="C18" s="52" t="str">
        <f>INDEX(Com_Scr!C:C,MATCH(Employee_Master!B:B,Com_Scr!B:B))</f>
        <v>DESERT WAVES CLEANING SERVICES - L.L.C - S.P.C</v>
      </c>
      <c r="D18" s="38">
        <v>784198137095430</v>
      </c>
      <c r="E18" s="53" t="s">
        <v>306</v>
      </c>
      <c r="F18" s="26">
        <v>133637433</v>
      </c>
      <c r="G18" s="27">
        <v>46723</v>
      </c>
      <c r="H18" s="36">
        <v>46519</v>
      </c>
      <c r="I18" s="26" t="s">
        <v>310</v>
      </c>
      <c r="J18" s="26"/>
      <c r="K18" s="26"/>
      <c r="L18" s="50"/>
    </row>
    <row r="19" spans="1:12" ht="45" hidden="1" x14ac:dyDescent="0.25">
      <c r="A19" s="43">
        <v>18</v>
      </c>
      <c r="B19" s="43" t="s">
        <v>350</v>
      </c>
      <c r="C19" s="52" t="str">
        <f>INDEX(Com_Scr!C:C,MATCH(Employee_Master!B:B,Com_Scr!B:B))</f>
        <v>DESERT WAVES CLEANING SERVICES - L.L.C - S.P.C</v>
      </c>
      <c r="D19" s="38">
        <v>784198125751606</v>
      </c>
      <c r="E19" s="53" t="s">
        <v>307</v>
      </c>
      <c r="F19" s="26">
        <v>133531477</v>
      </c>
      <c r="G19" s="27">
        <v>46763</v>
      </c>
      <c r="H19" s="36">
        <v>46489</v>
      </c>
      <c r="I19" s="54" t="s">
        <v>310</v>
      </c>
      <c r="J19" s="26"/>
      <c r="K19" s="26"/>
      <c r="L19" s="50"/>
    </row>
    <row r="20" spans="1:12" ht="45" hidden="1" x14ac:dyDescent="0.25">
      <c r="A20" s="43">
        <v>19</v>
      </c>
      <c r="B20" s="43" t="s">
        <v>350</v>
      </c>
      <c r="C20" s="52" t="str">
        <f>INDEX(Com_Scr!C:C,MATCH(Employee_Master!B:B,Com_Scr!B:B))</f>
        <v>DESERT WAVES CLEANING SERVICES - L.L.C - S.P.C</v>
      </c>
      <c r="D20" s="38">
        <v>784198691894301</v>
      </c>
      <c r="E20" s="53" t="s">
        <v>308</v>
      </c>
      <c r="F20" s="26">
        <v>136500210</v>
      </c>
      <c r="G20" s="27">
        <v>46817</v>
      </c>
      <c r="H20" s="36">
        <v>46806</v>
      </c>
      <c r="I20" s="26" t="s">
        <v>310</v>
      </c>
      <c r="J20" s="26"/>
      <c r="K20" s="26"/>
      <c r="L20" s="50"/>
    </row>
    <row r="21" spans="1:12" ht="45" hidden="1" x14ac:dyDescent="0.25">
      <c r="A21" s="43">
        <v>20</v>
      </c>
      <c r="B21" s="43" t="s">
        <v>351</v>
      </c>
      <c r="C21" s="52" t="str">
        <f>INDEX(Com_Scr!C:C,MATCH(Employee_Master!B:B,Com_Scr!B:B))</f>
        <v>DESERT WAVES COMMERCIAL BROKERS - L.L.C - S.P.C</v>
      </c>
      <c r="D21" s="38">
        <v>784198061083063</v>
      </c>
      <c r="E21" s="53" t="s">
        <v>311</v>
      </c>
      <c r="F21" s="26">
        <v>121770458</v>
      </c>
      <c r="G21" s="27">
        <v>46389</v>
      </c>
      <c r="H21" s="36">
        <v>46772</v>
      </c>
      <c r="I21" s="26"/>
      <c r="J21" s="26"/>
      <c r="K21" s="26"/>
      <c r="L21" s="50"/>
    </row>
    <row r="22" spans="1:12" ht="45" hidden="1" x14ac:dyDescent="0.25">
      <c r="A22" s="43">
        <v>21</v>
      </c>
      <c r="B22" s="43" t="s">
        <v>351</v>
      </c>
      <c r="C22" s="52" t="str">
        <f>INDEX(Com_Scr!C:C,MATCH(Employee_Master!B:B,Com_Scr!B:B))</f>
        <v>DESERT WAVES COMMERCIAL BROKERS - L.L.C - S.P.C</v>
      </c>
      <c r="D22" s="38">
        <v>784197796391494</v>
      </c>
      <c r="E22" s="53" t="s">
        <v>312</v>
      </c>
      <c r="F22" s="26">
        <v>120930393</v>
      </c>
      <c r="G22" s="27">
        <v>46376</v>
      </c>
      <c r="H22" s="36">
        <v>46378</v>
      </c>
      <c r="I22" s="54"/>
      <c r="J22" s="26"/>
      <c r="K22" s="26"/>
      <c r="L22" s="50"/>
    </row>
    <row r="23" spans="1:12" ht="45" hidden="1" x14ac:dyDescent="0.25">
      <c r="A23" s="43">
        <v>22</v>
      </c>
      <c r="B23" s="43" t="s">
        <v>351</v>
      </c>
      <c r="C23" s="52" t="str">
        <f>INDEX(Com_Scr!C:C,MATCH(Employee_Master!B:B,Com_Scr!B:B))</f>
        <v>DESERT WAVES COMMERCIAL BROKERS - L.L.C - S.P.C</v>
      </c>
      <c r="D23" s="38">
        <v>784199448620965</v>
      </c>
      <c r="E23" s="53" t="s">
        <v>313</v>
      </c>
      <c r="F23" s="26">
        <v>129643861</v>
      </c>
      <c r="G23" s="27">
        <v>46611</v>
      </c>
      <c r="H23" s="36">
        <v>46620</v>
      </c>
      <c r="I23" s="26"/>
      <c r="J23" s="26"/>
      <c r="K23" s="26"/>
      <c r="L23" s="50"/>
    </row>
    <row r="24" spans="1:12" ht="45" hidden="1" x14ac:dyDescent="0.25">
      <c r="A24" s="43">
        <v>23</v>
      </c>
      <c r="B24" s="43" t="s">
        <v>351</v>
      </c>
      <c r="C24" s="52" t="str">
        <f>INDEX(Com_Scr!C:C,MATCH(Employee_Master!B:B,Com_Scr!B:B))</f>
        <v>DESERT WAVES COMMERCIAL BROKERS - L.L.C - S.P.C</v>
      </c>
      <c r="D24" s="38">
        <v>784199346478896</v>
      </c>
      <c r="E24" s="53" t="s">
        <v>314</v>
      </c>
      <c r="F24" s="26">
        <v>135808704</v>
      </c>
      <c r="G24" s="27">
        <v>46779</v>
      </c>
      <c r="H24" s="36">
        <v>46782</v>
      </c>
      <c r="I24" s="54"/>
      <c r="J24" s="26"/>
      <c r="K24" s="26"/>
      <c r="L24" s="50"/>
    </row>
    <row r="25" spans="1:12" ht="45" hidden="1" x14ac:dyDescent="0.25">
      <c r="A25" s="43">
        <v>24</v>
      </c>
      <c r="B25" s="43" t="s">
        <v>351</v>
      </c>
      <c r="C25" s="52" t="str">
        <f>INDEX(Com_Scr!C:C,MATCH(Employee_Master!B:B,Com_Scr!B:B))</f>
        <v>DESERT WAVES COMMERCIAL BROKERS - L.L.C - S.P.C</v>
      </c>
      <c r="D25" s="38">
        <v>784198892621537</v>
      </c>
      <c r="E25" s="53" t="s">
        <v>315</v>
      </c>
      <c r="F25" s="26">
        <v>135173825</v>
      </c>
      <c r="G25" s="27">
        <v>46745</v>
      </c>
      <c r="H25" s="36">
        <v>46760</v>
      </c>
      <c r="I25" s="26"/>
      <c r="J25" s="26"/>
      <c r="K25" s="26"/>
      <c r="L25" s="50"/>
    </row>
    <row r="26" spans="1:12" ht="45" hidden="1" x14ac:dyDescent="0.25">
      <c r="A26" s="43">
        <v>25</v>
      </c>
      <c r="B26" s="43" t="s">
        <v>351</v>
      </c>
      <c r="C26" s="52" t="str">
        <f>INDEX(Com_Scr!C:C,MATCH(Employee_Master!B:B,Com_Scr!B:B))</f>
        <v>DESERT WAVES COMMERCIAL BROKERS - L.L.C - S.P.C</v>
      </c>
      <c r="D26" s="38">
        <v>784199434455897</v>
      </c>
      <c r="E26" s="53" t="s">
        <v>316</v>
      </c>
      <c r="F26" s="26">
        <v>120780226</v>
      </c>
      <c r="G26" s="29">
        <v>46380</v>
      </c>
      <c r="H26" s="36">
        <v>46371</v>
      </c>
      <c r="I26" s="54"/>
      <c r="J26" s="26"/>
      <c r="K26" s="26"/>
      <c r="L26" s="50"/>
    </row>
    <row r="27" spans="1:12" ht="45" hidden="1" x14ac:dyDescent="0.25">
      <c r="A27" s="43">
        <v>26</v>
      </c>
      <c r="B27" s="43" t="s">
        <v>351</v>
      </c>
      <c r="C27" s="52" t="str">
        <f>INDEX(Com_Scr!C:C,MATCH(Employee_Master!B:B,Com_Scr!B:B))</f>
        <v>DESERT WAVES COMMERCIAL BROKERS - L.L.C - S.P.C</v>
      </c>
      <c r="D27" s="38">
        <v>784198460978426</v>
      </c>
      <c r="E27" s="53" t="s">
        <v>317</v>
      </c>
      <c r="F27" s="26">
        <v>121770458</v>
      </c>
      <c r="G27" s="27">
        <v>46389</v>
      </c>
      <c r="H27" s="36">
        <v>46399</v>
      </c>
      <c r="I27" s="26"/>
      <c r="J27" s="26"/>
      <c r="K27" s="26"/>
      <c r="L27" s="50"/>
    </row>
    <row r="28" spans="1:12" ht="45" hidden="1" x14ac:dyDescent="0.25">
      <c r="A28" s="43">
        <v>27</v>
      </c>
      <c r="B28" s="43" t="s">
        <v>351</v>
      </c>
      <c r="C28" s="52" t="str">
        <f>INDEX(Com_Scr!C:C,MATCH(Employee_Master!B:B,Com_Scr!B:B))</f>
        <v>DESERT WAVES COMMERCIAL BROKERS - L.L.C - S.P.C</v>
      </c>
      <c r="D28" s="38">
        <v>784198814707018</v>
      </c>
      <c r="E28" s="53" t="s">
        <v>318</v>
      </c>
      <c r="F28" s="26">
        <v>114289767</v>
      </c>
      <c r="G28" s="27">
        <v>46151</v>
      </c>
      <c r="H28" s="36">
        <v>46154</v>
      </c>
      <c r="I28" s="54"/>
      <c r="J28" s="26"/>
      <c r="K28" s="26"/>
      <c r="L28" s="50"/>
    </row>
    <row r="29" spans="1:12" ht="45" hidden="1" x14ac:dyDescent="0.25">
      <c r="A29" s="43">
        <v>28</v>
      </c>
      <c r="B29" s="43" t="s">
        <v>351</v>
      </c>
      <c r="C29" s="52" t="str">
        <f>INDEX(Com_Scr!C:C,MATCH(Employee_Master!B:B,Com_Scr!B:B))</f>
        <v>DESERT WAVES COMMERCIAL BROKERS - L.L.C - S.P.C</v>
      </c>
      <c r="D29" s="38">
        <v>784198470959499</v>
      </c>
      <c r="E29" s="53" t="s">
        <v>319</v>
      </c>
      <c r="F29" s="26">
        <v>123204860</v>
      </c>
      <c r="G29" s="27">
        <v>46426</v>
      </c>
      <c r="H29" s="36">
        <v>46432</v>
      </c>
      <c r="I29" s="26"/>
      <c r="J29" s="26"/>
      <c r="K29" s="26"/>
      <c r="L29" s="50"/>
    </row>
    <row r="30" spans="1:12" ht="45" hidden="1" x14ac:dyDescent="0.25">
      <c r="A30" s="43">
        <v>29</v>
      </c>
      <c r="B30" s="43" t="s">
        <v>351</v>
      </c>
      <c r="C30" s="52" t="str">
        <f>INDEX(Com_Scr!C:C,MATCH(Employee_Master!B:B,Com_Scr!B:B))</f>
        <v>DESERT WAVES COMMERCIAL BROKERS - L.L.C - S.P.C</v>
      </c>
      <c r="D30" s="38">
        <v>784198524203217</v>
      </c>
      <c r="E30" s="53" t="s">
        <v>320</v>
      </c>
      <c r="F30" s="26">
        <v>134711840</v>
      </c>
      <c r="G30" s="27">
        <v>46698</v>
      </c>
      <c r="H30" s="36">
        <v>46746</v>
      </c>
      <c r="I30" s="54"/>
      <c r="J30" s="26"/>
      <c r="K30" s="26"/>
      <c r="L30" s="50"/>
    </row>
    <row r="31" spans="1:12" ht="45" hidden="1" x14ac:dyDescent="0.25">
      <c r="A31" s="43">
        <v>30</v>
      </c>
      <c r="B31" s="43" t="s">
        <v>351</v>
      </c>
      <c r="C31" s="52" t="str">
        <f>INDEX(Com_Scr!C:C,MATCH(Employee_Master!B:B,Com_Scr!B:B))</f>
        <v>DESERT WAVES COMMERCIAL BROKERS - L.L.C - S.P.C</v>
      </c>
      <c r="D31" s="38">
        <v>784198616042069</v>
      </c>
      <c r="E31" s="53" t="s">
        <v>321</v>
      </c>
      <c r="F31" s="26">
        <v>134521243</v>
      </c>
      <c r="G31" s="27">
        <v>46726</v>
      </c>
      <c r="H31" s="36">
        <v>46752</v>
      </c>
      <c r="I31" s="26"/>
      <c r="J31" s="26"/>
      <c r="K31" s="26"/>
      <c r="L31" s="50"/>
    </row>
    <row r="32" spans="1:12" ht="45" hidden="1" x14ac:dyDescent="0.25">
      <c r="A32" s="43">
        <v>31</v>
      </c>
      <c r="B32" s="43" t="s">
        <v>351</v>
      </c>
      <c r="C32" s="52" t="str">
        <f>INDEX(Com_Scr!C:C,MATCH(Employee_Master!B:B,Com_Scr!B:B))</f>
        <v>DESERT WAVES COMMERCIAL BROKERS - L.L.C - S.P.C</v>
      </c>
      <c r="D32" s="38">
        <v>784198470350285</v>
      </c>
      <c r="E32" s="53" t="s">
        <v>322</v>
      </c>
      <c r="F32" s="26">
        <v>133573686</v>
      </c>
      <c r="G32" s="27">
        <v>46732</v>
      </c>
      <c r="H32" s="36">
        <v>46726</v>
      </c>
      <c r="I32" s="54"/>
      <c r="J32" s="26"/>
      <c r="K32" s="26"/>
      <c r="L32" s="50"/>
    </row>
    <row r="33" spans="1:12" ht="45" hidden="1" x14ac:dyDescent="0.25">
      <c r="A33" s="43">
        <v>32</v>
      </c>
      <c r="B33" s="43" t="s">
        <v>351</v>
      </c>
      <c r="C33" s="52" t="str">
        <f>INDEX(Com_Scr!C:C,MATCH(Employee_Master!B:B,Com_Scr!B:B))</f>
        <v>DESERT WAVES COMMERCIAL BROKERS - L.L.C - S.P.C</v>
      </c>
      <c r="D33" s="38">
        <v>784198718272424</v>
      </c>
      <c r="E33" s="53" t="s">
        <v>323</v>
      </c>
      <c r="F33" s="26">
        <v>135440524</v>
      </c>
      <c r="G33" s="27">
        <v>46773</v>
      </c>
      <c r="H33" s="36">
        <v>46776</v>
      </c>
      <c r="I33" s="26"/>
      <c r="J33" s="26"/>
      <c r="K33" s="26"/>
      <c r="L33" s="50"/>
    </row>
    <row r="34" spans="1:12" ht="45" hidden="1" x14ac:dyDescent="0.25">
      <c r="A34" s="43">
        <v>33</v>
      </c>
      <c r="B34" s="43" t="s">
        <v>351</v>
      </c>
      <c r="C34" s="52" t="str">
        <f>INDEX(Com_Scr!C:C,MATCH(Employee_Master!B:B,Com_Scr!B:B))</f>
        <v>DESERT WAVES COMMERCIAL BROKERS - L.L.C - S.P.C</v>
      </c>
      <c r="D34" s="38">
        <v>784197154192971</v>
      </c>
      <c r="E34" s="53" t="s">
        <v>324</v>
      </c>
      <c r="F34" s="26">
        <v>118663692</v>
      </c>
      <c r="G34" s="27">
        <v>46306</v>
      </c>
      <c r="H34" s="36">
        <v>46305</v>
      </c>
      <c r="I34" s="54"/>
      <c r="J34" s="26"/>
      <c r="K34" s="26"/>
      <c r="L34" s="50"/>
    </row>
    <row r="35" spans="1:12" ht="45" hidden="1" x14ac:dyDescent="0.25">
      <c r="A35" s="43">
        <v>34</v>
      </c>
      <c r="B35" s="43" t="s">
        <v>351</v>
      </c>
      <c r="C35" s="52" t="str">
        <f>INDEX(Com_Scr!C:C,MATCH(Employee_Master!B:B,Com_Scr!B:B))</f>
        <v>DESERT WAVES COMMERCIAL BROKERS - L.L.C - S.P.C</v>
      </c>
      <c r="D35" s="38">
        <v>784198139659530</v>
      </c>
      <c r="E35" s="53" t="s">
        <v>325</v>
      </c>
      <c r="F35" s="26">
        <v>129238749</v>
      </c>
      <c r="G35" s="27">
        <v>46599</v>
      </c>
      <c r="H35" s="36">
        <v>46602</v>
      </c>
      <c r="I35" s="26"/>
      <c r="J35" s="26"/>
      <c r="K35" s="26"/>
      <c r="L35" s="50"/>
    </row>
    <row r="36" spans="1:12" ht="45" hidden="1" x14ac:dyDescent="0.25">
      <c r="A36" s="43">
        <v>35</v>
      </c>
      <c r="B36" s="43" t="s">
        <v>351</v>
      </c>
      <c r="C36" s="52" t="str">
        <f>INDEX(Com_Scr!C:C,MATCH(Employee_Master!B:B,Com_Scr!B:B))</f>
        <v>DESERT WAVES COMMERCIAL BROKERS - L.L.C - S.P.C</v>
      </c>
      <c r="D36" s="38">
        <v>784198774448926</v>
      </c>
      <c r="E36" s="53" t="s">
        <v>326</v>
      </c>
      <c r="F36" s="26">
        <v>125990577</v>
      </c>
      <c r="G36" s="27">
        <v>46506</v>
      </c>
      <c r="H36" s="36">
        <v>46515</v>
      </c>
      <c r="I36" s="54"/>
      <c r="J36" s="26"/>
      <c r="K36" s="26"/>
      <c r="L36" s="50"/>
    </row>
    <row r="37" spans="1:12" ht="45" hidden="1" x14ac:dyDescent="0.25">
      <c r="A37" s="43">
        <v>36</v>
      </c>
      <c r="B37" s="43" t="s">
        <v>351</v>
      </c>
      <c r="C37" s="52" t="str">
        <f>INDEX(Com_Scr!C:C,MATCH(Employee_Master!B:B,Com_Scr!B:B))</f>
        <v>DESERT WAVES COMMERCIAL BROKERS - L.L.C - S.P.C</v>
      </c>
      <c r="D37" s="38">
        <v>784197865960518</v>
      </c>
      <c r="E37" s="53" t="s">
        <v>327</v>
      </c>
      <c r="F37" s="26">
        <v>115846994</v>
      </c>
      <c r="G37" s="27">
        <v>46216</v>
      </c>
      <c r="H37" s="36">
        <v>46210</v>
      </c>
      <c r="I37" s="26"/>
      <c r="J37" s="26"/>
      <c r="K37" s="26"/>
      <c r="L37" s="50"/>
    </row>
    <row r="38" spans="1:12" ht="45" hidden="1" x14ac:dyDescent="0.25">
      <c r="A38" s="43">
        <v>37</v>
      </c>
      <c r="B38" s="43" t="s">
        <v>351</v>
      </c>
      <c r="C38" s="52" t="str">
        <f>INDEX(Com_Scr!C:C,MATCH(Employee_Master!B:B,Com_Scr!B:B))</f>
        <v>DESERT WAVES COMMERCIAL BROKERS - L.L.C - S.P.C</v>
      </c>
      <c r="D38" s="38">
        <v>784199052950294</v>
      </c>
      <c r="E38" s="53" t="s">
        <v>328</v>
      </c>
      <c r="F38" s="26">
        <v>119506148</v>
      </c>
      <c r="G38" s="27">
        <v>46223</v>
      </c>
      <c r="H38" s="36">
        <v>46293</v>
      </c>
      <c r="I38" s="54"/>
      <c r="J38" s="26"/>
      <c r="K38" s="26"/>
      <c r="L38" s="50"/>
    </row>
    <row r="39" spans="1:12" ht="45" hidden="1" x14ac:dyDescent="0.25">
      <c r="A39" s="43">
        <v>38</v>
      </c>
      <c r="B39" s="43" t="s">
        <v>351</v>
      </c>
      <c r="C39" s="52" t="str">
        <f>INDEX(Com_Scr!C:C,MATCH(Employee_Master!B:B,Com_Scr!B:B))</f>
        <v>DESERT WAVES COMMERCIAL BROKERS - L.L.C - S.P.C</v>
      </c>
      <c r="D39" s="38">
        <v>784197352505297</v>
      </c>
      <c r="E39" s="53" t="s">
        <v>329</v>
      </c>
      <c r="F39" s="26">
        <v>128950474</v>
      </c>
      <c r="G39" s="27">
        <v>46599</v>
      </c>
      <c r="H39" s="36">
        <v>46595</v>
      </c>
      <c r="I39" s="26"/>
      <c r="J39" s="26"/>
      <c r="K39" s="26"/>
      <c r="L39" s="50"/>
    </row>
    <row r="40" spans="1:12" ht="45" hidden="1" x14ac:dyDescent="0.25">
      <c r="A40" s="43">
        <v>39</v>
      </c>
      <c r="B40" s="43" t="s">
        <v>351</v>
      </c>
      <c r="C40" s="52" t="str">
        <f>INDEX(Com_Scr!C:C,MATCH(Employee_Master!B:B,Com_Scr!B:B))</f>
        <v>DESERT WAVES COMMERCIAL BROKERS - L.L.C - S.P.C</v>
      </c>
      <c r="D40" s="38">
        <v>784198131794764</v>
      </c>
      <c r="E40" s="55" t="s">
        <v>330</v>
      </c>
      <c r="F40" s="26">
        <v>115367434</v>
      </c>
      <c r="G40" s="27">
        <v>46188</v>
      </c>
      <c r="H40" s="36">
        <v>46191</v>
      </c>
      <c r="I40" s="26"/>
      <c r="J40" s="26"/>
      <c r="K40" s="26"/>
      <c r="L40" s="50"/>
    </row>
    <row r="41" spans="1:12" ht="45" hidden="1" x14ac:dyDescent="0.25">
      <c r="A41" s="43">
        <v>40</v>
      </c>
      <c r="B41" s="43" t="s">
        <v>351</v>
      </c>
      <c r="C41" s="52" t="str">
        <f>INDEX(Com_Scr!C:C,MATCH(Employee_Master!B:B,Com_Scr!B:B))</f>
        <v>DESERT WAVES COMMERCIAL BROKERS - L.L.C - S.P.C</v>
      </c>
      <c r="D41" s="38">
        <v>784197807918632</v>
      </c>
      <c r="E41" s="53" t="s">
        <v>331</v>
      </c>
      <c r="F41" s="26">
        <v>116750950</v>
      </c>
      <c r="G41" s="27">
        <v>46226</v>
      </c>
      <c r="H41" s="36">
        <v>46257</v>
      </c>
      <c r="I41" s="26"/>
      <c r="J41" s="26"/>
      <c r="K41" s="26"/>
      <c r="L41" s="50"/>
    </row>
    <row r="42" spans="1:12" ht="45" hidden="1" x14ac:dyDescent="0.25">
      <c r="A42" s="43">
        <v>41</v>
      </c>
      <c r="B42" s="43" t="s">
        <v>351</v>
      </c>
      <c r="C42" s="52" t="str">
        <f>INDEX(Com_Scr!C:C,MATCH(Employee_Master!B:B,Com_Scr!B:B))</f>
        <v>DESERT WAVES COMMERCIAL BROKERS - L.L.C - S.P.C</v>
      </c>
      <c r="D42" s="38">
        <v>784197226871487</v>
      </c>
      <c r="E42" s="53" t="s">
        <v>332</v>
      </c>
      <c r="F42" s="26">
        <v>137509274</v>
      </c>
      <c r="G42" s="27">
        <v>46808</v>
      </c>
      <c r="H42" s="36">
        <v>46814</v>
      </c>
      <c r="I42" s="26"/>
      <c r="J42" s="26"/>
      <c r="K42" s="26"/>
      <c r="L42" s="50"/>
    </row>
    <row r="43" spans="1:12" ht="45" hidden="1" x14ac:dyDescent="0.25">
      <c r="A43" s="43">
        <v>42</v>
      </c>
      <c r="B43" s="43" t="s">
        <v>351</v>
      </c>
      <c r="C43" s="52" t="str">
        <f>INDEX(Com_Scr!C:C,MATCH(Employee_Master!B:B,Com_Scr!B:B))</f>
        <v>DESERT WAVES COMMERCIAL BROKERS - L.L.C - S.P.C</v>
      </c>
      <c r="D43" s="38">
        <v>784198065991162</v>
      </c>
      <c r="E43" s="53" t="s">
        <v>333</v>
      </c>
      <c r="F43" s="26">
        <v>117182857</v>
      </c>
      <c r="G43" s="27">
        <v>46247</v>
      </c>
      <c r="H43" s="36">
        <v>46259</v>
      </c>
      <c r="I43" s="26"/>
      <c r="J43" s="26"/>
      <c r="K43" s="26"/>
      <c r="L43" s="50"/>
    </row>
    <row r="44" spans="1:12" ht="60" hidden="1" x14ac:dyDescent="0.25">
      <c r="A44" s="43">
        <v>43</v>
      </c>
      <c r="B44" s="43" t="s">
        <v>357</v>
      </c>
      <c r="C44" s="52" t="str">
        <f>INDEX(Com_Scr!C:C,MATCH(Employee_Master!B:B,Com_Scr!B:B))</f>
        <v>DATTA GENERAL TRADING AND LABORATORY SUPPLIES - L.L.C - S.P.C</v>
      </c>
      <c r="D44" s="38">
        <v>784200123136606</v>
      </c>
      <c r="E44" s="53" t="s">
        <v>337</v>
      </c>
      <c r="F44" s="26">
        <v>131990426</v>
      </c>
      <c r="G44" s="27">
        <v>46657</v>
      </c>
      <c r="H44" s="36">
        <v>46772</v>
      </c>
      <c r="I44" s="26"/>
      <c r="J44" s="26" t="s">
        <v>348</v>
      </c>
      <c r="K44" s="26"/>
      <c r="L44" s="50"/>
    </row>
    <row r="45" spans="1:12" ht="60" hidden="1" x14ac:dyDescent="0.25">
      <c r="A45" s="43">
        <v>44</v>
      </c>
      <c r="B45" s="56" t="s">
        <v>357</v>
      </c>
      <c r="C45" s="52" t="str">
        <f>INDEX(Com_Scr!C:C,MATCH(Employee_Master!B:B,Com_Scr!B:B))</f>
        <v>DATTA GENERAL TRADING AND LABORATORY SUPPLIES - L.L.C - S.P.C</v>
      </c>
      <c r="D45" s="38">
        <v>784199764523116</v>
      </c>
      <c r="E45" s="53" t="s">
        <v>338</v>
      </c>
      <c r="F45" s="26">
        <v>131990416</v>
      </c>
      <c r="G45" s="27">
        <v>46815</v>
      </c>
      <c r="H45" s="36">
        <v>46378</v>
      </c>
      <c r="I45" s="54"/>
      <c r="J45" s="26"/>
      <c r="K45" s="26"/>
      <c r="L45" s="50"/>
    </row>
    <row r="46" spans="1:12" ht="60" hidden="1" x14ac:dyDescent="0.25">
      <c r="A46" s="43">
        <v>45</v>
      </c>
      <c r="B46" s="56" t="s">
        <v>357</v>
      </c>
      <c r="C46" s="52" t="str">
        <f>INDEX(Com_Scr!C:C,MATCH(Employee_Master!B:B,Com_Scr!B:B))</f>
        <v>DATTA GENERAL TRADING AND LABORATORY SUPPLIES - L.L.C - S.P.C</v>
      </c>
      <c r="D46" s="38">
        <v>784197661594768</v>
      </c>
      <c r="E46" s="53" t="s">
        <v>339</v>
      </c>
      <c r="F46" s="26">
        <v>137524570</v>
      </c>
      <c r="G46" s="27">
        <v>46657</v>
      </c>
      <c r="H46" s="36">
        <v>46620</v>
      </c>
      <c r="I46" s="26"/>
      <c r="J46" s="26"/>
      <c r="K46" s="26"/>
      <c r="L46" s="50"/>
    </row>
    <row r="47" spans="1:12" ht="60" hidden="1" x14ac:dyDescent="0.25">
      <c r="A47" s="43">
        <v>46</v>
      </c>
      <c r="B47" s="56" t="s">
        <v>357</v>
      </c>
      <c r="C47" s="52" t="str">
        <f>INDEX(Com_Scr!C:C,MATCH(Employee_Master!B:B,Com_Scr!B:B))</f>
        <v>DATTA GENERAL TRADING AND LABORATORY SUPPLIES - L.L.C - S.P.C</v>
      </c>
      <c r="D47" s="38">
        <v>784198735750279</v>
      </c>
      <c r="E47" s="55" t="s">
        <v>336</v>
      </c>
      <c r="F47" s="30">
        <v>116359557</v>
      </c>
      <c r="G47" s="27">
        <v>46225</v>
      </c>
      <c r="H47" s="36" t="s">
        <v>340</v>
      </c>
      <c r="I47" s="28"/>
      <c r="J47" s="26"/>
      <c r="K47" s="26"/>
      <c r="L47" s="50"/>
    </row>
    <row r="48" spans="1:12" ht="45" hidden="1" x14ac:dyDescent="0.25">
      <c r="A48" s="43">
        <v>47</v>
      </c>
      <c r="B48" s="57" t="s">
        <v>358</v>
      </c>
      <c r="C48" s="52" t="str">
        <f>INDEX(Com_Scr!C:C,MATCH(Employee_Master!B:B,Com_Scr!B:B))</f>
        <v>DATTA BUKHARI RESTAURANT - L.L.C - O.P.C</v>
      </c>
      <c r="D48" s="38">
        <v>784198241913080</v>
      </c>
      <c r="E48" s="53" t="s">
        <v>341</v>
      </c>
      <c r="F48" s="26">
        <v>118673455</v>
      </c>
      <c r="G48" s="27">
        <v>46304</v>
      </c>
      <c r="H48" s="36">
        <v>46327</v>
      </c>
      <c r="I48" s="26"/>
      <c r="J48" s="26"/>
      <c r="K48" s="26"/>
      <c r="L48" s="50"/>
    </row>
    <row r="49" spans="1:12" ht="45" hidden="1" x14ac:dyDescent="0.25">
      <c r="A49" s="43">
        <v>48</v>
      </c>
      <c r="B49" s="57" t="s">
        <v>358</v>
      </c>
      <c r="C49" s="52" t="str">
        <f>INDEX(Com_Scr!C:C,MATCH(Employee_Master!B:B,Com_Scr!B:B))</f>
        <v>DATTA BUKHARI RESTAURANT - L.L.C - O.P.C</v>
      </c>
      <c r="D49" s="38">
        <v>784200060808274</v>
      </c>
      <c r="E49" s="53" t="s">
        <v>342</v>
      </c>
      <c r="F49" s="26">
        <v>126935911</v>
      </c>
      <c r="G49" s="27">
        <v>46539</v>
      </c>
      <c r="H49" s="36">
        <v>46584</v>
      </c>
      <c r="I49" s="54"/>
      <c r="J49" s="26"/>
      <c r="K49" s="26"/>
      <c r="L49" s="50"/>
    </row>
    <row r="50" spans="1:12" ht="45" hidden="1" x14ac:dyDescent="0.25">
      <c r="A50" s="43">
        <v>49</v>
      </c>
      <c r="B50" s="57" t="s">
        <v>358</v>
      </c>
      <c r="C50" s="52" t="str">
        <f>INDEX(Com_Scr!C:C,MATCH(Employee_Master!B:B,Com_Scr!B:B))</f>
        <v>DATTA BUKHARI RESTAURANT - L.L.C - O.P.C</v>
      </c>
      <c r="D50" s="38">
        <v>784198784614053</v>
      </c>
      <c r="E50" s="53" t="s">
        <v>343</v>
      </c>
      <c r="F50" s="26">
        <v>130639640</v>
      </c>
      <c r="G50" s="27">
        <v>46639</v>
      </c>
      <c r="H50" s="36">
        <v>46652</v>
      </c>
      <c r="I50" s="26"/>
      <c r="J50" s="26"/>
      <c r="K50" s="26"/>
      <c r="L50" s="50"/>
    </row>
    <row r="51" spans="1:12" ht="45" hidden="1" x14ac:dyDescent="0.25">
      <c r="A51" s="43">
        <v>50</v>
      </c>
      <c r="B51" s="57" t="s">
        <v>358</v>
      </c>
      <c r="C51" s="52" t="str">
        <f>INDEX(Com_Scr!C:C,MATCH(Employee_Master!B:B,Com_Scr!B:B))</f>
        <v>DATTA BUKHARI RESTAURANT - L.L.C - O.P.C</v>
      </c>
      <c r="D51" s="38">
        <v>784198580960239</v>
      </c>
      <c r="E51" s="53" t="s">
        <v>344</v>
      </c>
      <c r="F51" s="26">
        <v>117903164</v>
      </c>
      <c r="G51" s="27">
        <v>46280</v>
      </c>
      <c r="H51" s="36">
        <v>46288</v>
      </c>
      <c r="I51" s="26"/>
      <c r="J51" s="26"/>
      <c r="K51" s="26"/>
      <c r="L51" s="50"/>
    </row>
    <row r="52" spans="1:12" ht="45" hidden="1" x14ac:dyDescent="0.25">
      <c r="A52" s="43">
        <v>51</v>
      </c>
      <c r="B52" s="57" t="s">
        <v>358</v>
      </c>
      <c r="C52" s="52" t="str">
        <f>INDEX(Com_Scr!C:C,MATCH(Employee_Master!B:B,Com_Scr!B:B))</f>
        <v>DATTA BUKHARI RESTAURANT - L.L.C - O.P.C</v>
      </c>
      <c r="D52" s="38">
        <v>784199328580313</v>
      </c>
      <c r="E52" s="53" t="s">
        <v>345</v>
      </c>
      <c r="F52" s="26">
        <v>119834812</v>
      </c>
      <c r="G52" s="27">
        <v>46337</v>
      </c>
      <c r="H52" s="36">
        <v>46343</v>
      </c>
      <c r="I52" s="26"/>
      <c r="J52" s="26"/>
      <c r="K52" s="26"/>
      <c r="L52" s="50"/>
    </row>
    <row r="53" spans="1:12" ht="45" hidden="1" x14ac:dyDescent="0.25">
      <c r="A53" s="43">
        <v>52</v>
      </c>
      <c r="B53" s="57" t="s">
        <v>358</v>
      </c>
      <c r="C53" s="52" t="str">
        <f>INDEX(Com_Scr!C:C,MATCH(Employee_Master!B:B,Com_Scr!B:B))</f>
        <v>DATTA BUKHARI RESTAURANT - L.L.C - O.P.C</v>
      </c>
      <c r="D53" s="38">
        <v>784200159632866</v>
      </c>
      <c r="E53" s="53" t="s">
        <v>346</v>
      </c>
      <c r="F53" s="26">
        <v>115047636</v>
      </c>
      <c r="G53" s="27">
        <v>46178</v>
      </c>
      <c r="H53" s="36">
        <v>46180</v>
      </c>
      <c r="I53" s="26"/>
      <c r="J53" s="26"/>
      <c r="K53" s="26"/>
      <c r="L53" s="50"/>
    </row>
    <row r="54" spans="1:12" ht="45" hidden="1" x14ac:dyDescent="0.25">
      <c r="A54" s="43">
        <v>53</v>
      </c>
      <c r="B54" s="57" t="s">
        <v>358</v>
      </c>
      <c r="C54" s="52" t="str">
        <f>INDEX(Com_Scr!C:C,MATCH(Employee_Master!B:B,Com_Scr!B:B))</f>
        <v>DATTA BUKHARI RESTAURANT - L.L.C - O.P.C</v>
      </c>
      <c r="D54" s="38">
        <v>784199740355690</v>
      </c>
      <c r="E54" s="53" t="s">
        <v>347</v>
      </c>
      <c r="F54" s="26">
        <v>119645105</v>
      </c>
      <c r="G54" s="27">
        <v>46185</v>
      </c>
      <c r="H54" s="36">
        <v>46198</v>
      </c>
      <c r="I54" s="26"/>
      <c r="J54" s="26"/>
      <c r="K54" s="26"/>
      <c r="L54" s="50"/>
    </row>
    <row r="55" spans="1:12" ht="30" hidden="1" x14ac:dyDescent="0.25">
      <c r="A55" s="43">
        <v>54</v>
      </c>
      <c r="B55" s="35" t="s">
        <v>360</v>
      </c>
      <c r="C55" s="52" t="str">
        <f>INDEX(Com_Scr!C:C,MATCH(Employee_Master!B:B,Com_Scr!B:B))</f>
        <v>ROYAL KATTANS KITCHEN - L.L.C</v>
      </c>
      <c r="D55" s="45">
        <v>784196575612936</v>
      </c>
      <c r="E55" s="55" t="s">
        <v>645</v>
      </c>
      <c r="F55" s="30">
        <v>132218708</v>
      </c>
      <c r="G55" s="29">
        <v>46686</v>
      </c>
      <c r="H55" s="36">
        <v>46690</v>
      </c>
      <c r="I55" s="26"/>
      <c r="J55" s="26" t="s">
        <v>700</v>
      </c>
      <c r="K55" s="26"/>
      <c r="L55" s="50"/>
    </row>
    <row r="56" spans="1:12" ht="30" hidden="1" x14ac:dyDescent="0.25">
      <c r="A56" s="43">
        <v>55</v>
      </c>
      <c r="B56" s="35" t="s">
        <v>360</v>
      </c>
      <c r="C56" s="52" t="str">
        <f>INDEX(Com_Scr!C:C,MATCH(Employee_Master!B:B,Com_Scr!B:B))</f>
        <v>ROYAL KATTANS KITCHEN - L.L.C</v>
      </c>
      <c r="D56" s="45">
        <v>784199252644788</v>
      </c>
      <c r="E56" s="55" t="s">
        <v>648</v>
      </c>
      <c r="F56" s="30">
        <v>131506775</v>
      </c>
      <c r="G56" s="27">
        <v>46517</v>
      </c>
      <c r="H56" s="36">
        <v>46669</v>
      </c>
      <c r="I56" s="26"/>
      <c r="J56" s="26" t="s">
        <v>700</v>
      </c>
      <c r="K56" s="26"/>
      <c r="L56" s="50"/>
    </row>
    <row r="57" spans="1:12" ht="30" hidden="1" x14ac:dyDescent="0.25">
      <c r="A57" s="43">
        <v>56</v>
      </c>
      <c r="B57" s="35" t="s">
        <v>360</v>
      </c>
      <c r="C57" s="52" t="str">
        <f>INDEX(Com_Scr!C:C,MATCH(Employee_Master!B:B,Com_Scr!B:B))</f>
        <v>ROYAL KATTANS KITCHEN - L.L.C</v>
      </c>
      <c r="D57" s="45">
        <v>784200611586767</v>
      </c>
      <c r="E57" s="53" t="s">
        <v>671</v>
      </c>
      <c r="F57" s="30">
        <v>133934989</v>
      </c>
      <c r="G57" s="27">
        <v>46736</v>
      </c>
      <c r="H57" s="36">
        <v>46743</v>
      </c>
      <c r="I57" s="26"/>
      <c r="J57" s="26"/>
      <c r="K57" s="26"/>
      <c r="L57" s="50"/>
    </row>
    <row r="58" spans="1:12" ht="45" hidden="1" x14ac:dyDescent="0.25">
      <c r="A58" s="43">
        <v>57</v>
      </c>
      <c r="B58" s="35" t="s">
        <v>360</v>
      </c>
      <c r="C58" s="52" t="str">
        <f>INDEX(Com_Scr!C:C,MATCH(Employee_Master!B:B,Com_Scr!B:B))</f>
        <v>ROYAL KATTANS KITCHEN - L.L.C</v>
      </c>
      <c r="D58" s="46" t="s">
        <v>335</v>
      </c>
      <c r="E58" s="55" t="s">
        <v>695</v>
      </c>
      <c r="F58" s="30">
        <v>134515295</v>
      </c>
      <c r="G58" s="27">
        <v>46385</v>
      </c>
      <c r="H58" s="36" t="s">
        <v>348</v>
      </c>
      <c r="I58" s="26"/>
      <c r="J58" s="26"/>
      <c r="K58" s="26"/>
      <c r="L58" s="50"/>
    </row>
    <row r="59" spans="1:12" ht="45" hidden="1" x14ac:dyDescent="0.25">
      <c r="A59" s="43">
        <v>58</v>
      </c>
      <c r="B59" s="35" t="s">
        <v>360</v>
      </c>
      <c r="C59" s="52" t="str">
        <f>INDEX(Com_Scr!C:C,MATCH(Employee_Master!B:B,Com_Scr!B:B))</f>
        <v>ROYAL KATTANS KITCHEN - L.L.C</v>
      </c>
      <c r="D59" s="46" t="s">
        <v>335</v>
      </c>
      <c r="E59" s="55" t="s">
        <v>696</v>
      </c>
      <c r="F59" s="30">
        <v>134720525</v>
      </c>
      <c r="G59" s="27">
        <v>46389</v>
      </c>
      <c r="H59" s="36" t="s">
        <v>348</v>
      </c>
      <c r="I59" s="26"/>
      <c r="J59" s="26"/>
      <c r="K59" s="26"/>
      <c r="L59" s="50"/>
    </row>
    <row r="60" spans="1:12" ht="45" hidden="1" x14ac:dyDescent="0.25">
      <c r="A60" s="43">
        <v>59</v>
      </c>
      <c r="B60" s="35" t="s">
        <v>360</v>
      </c>
      <c r="C60" s="52" t="str">
        <f>INDEX(Com_Scr!C:C,MATCH(Employee_Master!B:B,Com_Scr!B:B))</f>
        <v>ROYAL KATTANS KITCHEN - L.L.C</v>
      </c>
      <c r="D60" s="46" t="s">
        <v>335</v>
      </c>
      <c r="E60" s="55" t="s">
        <v>697</v>
      </c>
      <c r="F60" s="30">
        <v>134941495</v>
      </c>
      <c r="G60" s="27">
        <v>46212</v>
      </c>
      <c r="H60" s="36" t="s">
        <v>348</v>
      </c>
      <c r="I60" s="26"/>
      <c r="J60" s="26"/>
      <c r="K60" s="26"/>
      <c r="L60" s="50"/>
    </row>
    <row r="61" spans="1:12" ht="45" hidden="1" x14ac:dyDescent="0.25">
      <c r="A61" s="43">
        <v>60</v>
      </c>
      <c r="B61" s="35" t="s">
        <v>360</v>
      </c>
      <c r="C61" s="52" t="str">
        <f>INDEX(Com_Scr!C:C,MATCH(Employee_Master!B:B,Com_Scr!B:B))</f>
        <v>ROYAL KATTANS KITCHEN - L.L.C</v>
      </c>
      <c r="D61" s="46" t="s">
        <v>335</v>
      </c>
      <c r="E61" s="55" t="s">
        <v>698</v>
      </c>
      <c r="F61" s="30">
        <v>134941495</v>
      </c>
      <c r="G61" s="27">
        <v>46191</v>
      </c>
      <c r="H61" s="36" t="s">
        <v>348</v>
      </c>
      <c r="I61" s="26"/>
      <c r="J61" s="26"/>
      <c r="K61" s="26"/>
      <c r="L61" s="50"/>
    </row>
    <row r="62" spans="1:12" ht="30" hidden="1" x14ac:dyDescent="0.25">
      <c r="A62" s="43">
        <v>61</v>
      </c>
      <c r="B62" s="35" t="s">
        <v>360</v>
      </c>
      <c r="C62" s="52" t="str">
        <f>INDEX(Com_Scr!C:C,MATCH(Employee_Master!B:B,Com_Scr!B:B))</f>
        <v>ROYAL KATTANS KITCHEN - L.L.C</v>
      </c>
      <c r="D62" s="45">
        <v>784197874471119</v>
      </c>
      <c r="E62" s="55" t="s">
        <v>699</v>
      </c>
      <c r="F62" s="30">
        <v>134110054</v>
      </c>
      <c r="G62" s="27">
        <v>46814</v>
      </c>
      <c r="H62" s="36">
        <v>46864</v>
      </c>
      <c r="I62" s="26"/>
      <c r="J62" s="26"/>
      <c r="K62" s="26"/>
      <c r="L62" s="50"/>
    </row>
    <row r="63" spans="1:12" ht="30" hidden="1" x14ac:dyDescent="0.25">
      <c r="A63" s="43">
        <v>62</v>
      </c>
      <c r="B63" s="35" t="s">
        <v>360</v>
      </c>
      <c r="C63" s="52" t="str">
        <f>INDEX(Com_Scr!C:C,MATCH(Employee_Master!B:B,Com_Scr!B:B))</f>
        <v>ROYAL KATTANS KITCHEN - L.L.C</v>
      </c>
      <c r="D63" s="45">
        <v>784200556810206</v>
      </c>
      <c r="E63" s="55" t="s">
        <v>701</v>
      </c>
      <c r="F63" s="30">
        <v>135059938</v>
      </c>
      <c r="G63" s="27">
        <v>46768</v>
      </c>
      <c r="H63" s="36">
        <v>46775</v>
      </c>
      <c r="I63" s="26"/>
      <c r="J63" s="26"/>
      <c r="K63" s="26"/>
      <c r="L63" s="50"/>
    </row>
    <row r="64" spans="1:12" ht="30" hidden="1" x14ac:dyDescent="0.25">
      <c r="A64" s="43">
        <v>63</v>
      </c>
      <c r="B64" s="35" t="s">
        <v>360</v>
      </c>
      <c r="C64" s="52" t="str">
        <f>INDEX(Com_Scr!C:C,MATCH(Employee_Master!B:B,Com_Scr!B:B))</f>
        <v>ROYAL KATTANS KITCHEN - L.L.C</v>
      </c>
      <c r="D64" s="38">
        <v>784199064665500</v>
      </c>
      <c r="E64" s="55" t="s">
        <v>702</v>
      </c>
      <c r="F64" s="30">
        <v>135059521</v>
      </c>
      <c r="G64" s="27">
        <v>46768</v>
      </c>
      <c r="H64" s="36">
        <v>46781</v>
      </c>
      <c r="I64" s="26"/>
      <c r="J64" s="26"/>
      <c r="K64" s="26"/>
      <c r="L64" s="50"/>
    </row>
    <row r="65" spans="1:12" ht="45" hidden="1" x14ac:dyDescent="0.25">
      <c r="A65" s="43">
        <v>64</v>
      </c>
      <c r="B65" s="35" t="s">
        <v>360</v>
      </c>
      <c r="C65" s="52" t="str">
        <f>INDEX(Com_Scr!C:C,MATCH(Employee_Master!B:B,Com_Scr!B:B))</f>
        <v>ROYAL KATTANS KITCHEN - L.L.C</v>
      </c>
      <c r="D65" s="38">
        <v>784197443205188</v>
      </c>
      <c r="E65" s="55" t="s">
        <v>703</v>
      </c>
      <c r="F65" s="30">
        <v>135333516</v>
      </c>
      <c r="G65" s="27">
        <v>46772</v>
      </c>
      <c r="H65" s="36">
        <v>46780</v>
      </c>
      <c r="I65" s="26"/>
      <c r="J65" s="26"/>
      <c r="K65" s="26"/>
      <c r="L65" s="50"/>
    </row>
    <row r="66" spans="1:12" ht="30" hidden="1" x14ac:dyDescent="0.25">
      <c r="A66" s="43">
        <v>65</v>
      </c>
      <c r="B66" s="35" t="s">
        <v>360</v>
      </c>
      <c r="C66" s="52" t="str">
        <f>INDEX(Com_Scr!C:C,MATCH(Employee_Master!B:B,Com_Scr!B:B))</f>
        <v>ROYAL KATTANS KITCHEN - L.L.C</v>
      </c>
      <c r="D66" s="38">
        <v>784200228254080</v>
      </c>
      <c r="E66" s="55" t="s">
        <v>704</v>
      </c>
      <c r="F66" s="30">
        <v>134868135</v>
      </c>
      <c r="G66" s="27">
        <v>46761</v>
      </c>
      <c r="H66" s="36">
        <v>46775</v>
      </c>
      <c r="I66" s="26"/>
      <c r="J66" s="26"/>
      <c r="K66" s="26"/>
      <c r="L66" s="50"/>
    </row>
    <row r="67" spans="1:12" ht="45" hidden="1" x14ac:dyDescent="0.25">
      <c r="A67" s="43">
        <v>66</v>
      </c>
      <c r="B67" s="35" t="s">
        <v>360</v>
      </c>
      <c r="C67" s="52" t="str">
        <f>INDEX(Com_Scr!C:C,MATCH(Employee_Master!B:B,Com_Scr!B:B))</f>
        <v>ROYAL KATTANS KITCHEN - L.L.C</v>
      </c>
      <c r="D67" s="46" t="s">
        <v>969</v>
      </c>
      <c r="E67" s="55" t="s">
        <v>705</v>
      </c>
      <c r="F67" s="30">
        <v>134211939</v>
      </c>
      <c r="G67" s="27">
        <v>46742</v>
      </c>
      <c r="H67" s="36" t="s">
        <v>717</v>
      </c>
      <c r="I67" s="26"/>
      <c r="J67" s="26"/>
      <c r="K67" s="26"/>
      <c r="L67" s="50"/>
    </row>
    <row r="68" spans="1:12" ht="45" hidden="1" x14ac:dyDescent="0.25">
      <c r="A68" s="43">
        <v>67</v>
      </c>
      <c r="B68" s="35" t="s">
        <v>361</v>
      </c>
      <c r="C68" s="52" t="str">
        <f>INDEX(Com_Scr!C:C,MATCH(Employee_Master!B:B,Com_Scr!B:B))</f>
        <v>ROYAL KATTAN KITCHEN -L.L.C BRANCH</v>
      </c>
      <c r="D68" s="38">
        <v>784200498490711</v>
      </c>
      <c r="E68" s="55" t="s">
        <v>642</v>
      </c>
      <c r="F68" s="30">
        <v>119289547</v>
      </c>
      <c r="G68" s="27">
        <v>46322</v>
      </c>
      <c r="H68" s="36">
        <v>46337</v>
      </c>
      <c r="I68" s="26"/>
      <c r="J68" s="26" t="s">
        <v>348</v>
      </c>
      <c r="K68" s="26"/>
      <c r="L68" s="50"/>
    </row>
    <row r="69" spans="1:12" ht="45" hidden="1" x14ac:dyDescent="0.25">
      <c r="A69" s="43">
        <v>68</v>
      </c>
      <c r="B69" s="35" t="s">
        <v>361</v>
      </c>
      <c r="C69" s="52" t="str">
        <f>INDEX(Com_Scr!C:C,MATCH(Employee_Master!B:B,Com_Scr!B:B))</f>
        <v>ROYAL KATTAN KITCHEN -L.L.C BRANCH</v>
      </c>
      <c r="D69" s="45">
        <v>784199064665500</v>
      </c>
      <c r="E69" s="55" t="s">
        <v>643</v>
      </c>
      <c r="F69" s="30">
        <v>117447062</v>
      </c>
      <c r="G69" s="27">
        <v>46262</v>
      </c>
      <c r="H69" s="36"/>
      <c r="I69" s="26"/>
      <c r="J69" s="26"/>
      <c r="K69" s="26"/>
      <c r="L69" s="50"/>
    </row>
    <row r="70" spans="1:12" ht="45" hidden="1" x14ac:dyDescent="0.25">
      <c r="A70" s="43">
        <v>69</v>
      </c>
      <c r="B70" s="35" t="s">
        <v>361</v>
      </c>
      <c r="C70" s="52" t="str">
        <f>INDEX(Com_Scr!C:C,MATCH(Employee_Master!B:B,Com_Scr!B:B))</f>
        <v>ROYAL KATTAN KITCHEN -L.L.C BRANCH</v>
      </c>
      <c r="D70" s="45">
        <v>784197443205188</v>
      </c>
      <c r="E70" s="55" t="s">
        <v>665</v>
      </c>
      <c r="F70" s="30">
        <v>117447061</v>
      </c>
      <c r="G70" s="27">
        <v>46262</v>
      </c>
      <c r="H70" s="36"/>
      <c r="I70" s="26"/>
      <c r="J70" s="26"/>
      <c r="K70" s="26"/>
      <c r="L70" s="50"/>
    </row>
    <row r="71" spans="1:12" ht="60" hidden="1" x14ac:dyDescent="0.25">
      <c r="A71" s="43">
        <v>70</v>
      </c>
      <c r="B71" s="35" t="s">
        <v>361</v>
      </c>
      <c r="C71" s="52" t="str">
        <f>INDEX(Com_Scr!C:C,MATCH(Employee_Master!B:B,Com_Scr!B:B))</f>
        <v>ROYAL KATTAN KITCHEN -L.L.C BRANCH</v>
      </c>
      <c r="D71" s="45">
        <v>784200228254080</v>
      </c>
      <c r="E71" s="55" t="s">
        <v>666</v>
      </c>
      <c r="F71" s="30">
        <v>136756131</v>
      </c>
      <c r="G71" s="27">
        <v>46815</v>
      </c>
      <c r="H71" s="36"/>
      <c r="I71" s="26"/>
      <c r="J71" s="26"/>
      <c r="K71" s="26"/>
      <c r="L71" s="50"/>
    </row>
    <row r="72" spans="1:12" ht="45" hidden="1" x14ac:dyDescent="0.25">
      <c r="A72" s="43">
        <v>71</v>
      </c>
      <c r="B72" s="35" t="s">
        <v>361</v>
      </c>
      <c r="C72" s="52" t="str">
        <f>INDEX(Com_Scr!C:C,MATCH(Employee_Master!B:B,Com_Scr!B:B))</f>
        <v>ROYAL KATTAN KITCHEN -L.L.C BRANCH</v>
      </c>
      <c r="D72" s="38">
        <v>784199756393684</v>
      </c>
      <c r="E72" s="55" t="s">
        <v>667</v>
      </c>
      <c r="F72" s="30">
        <v>137706083</v>
      </c>
      <c r="G72" s="27">
        <v>46851</v>
      </c>
      <c r="H72" s="36">
        <v>46867</v>
      </c>
      <c r="I72" s="26"/>
      <c r="J72" s="26"/>
      <c r="K72" s="26"/>
      <c r="L72" s="50"/>
    </row>
    <row r="73" spans="1:12" ht="45" hidden="1" x14ac:dyDescent="0.25">
      <c r="A73" s="43">
        <v>72</v>
      </c>
      <c r="B73" s="35" t="s">
        <v>361</v>
      </c>
      <c r="C73" s="52" t="str">
        <f>INDEX(Com_Scr!C:C,MATCH(Employee_Master!B:B,Com_Scr!B:B))</f>
        <v>ROYAL KATTAN KITCHEN -L.L.C BRANCH</v>
      </c>
      <c r="D73" s="38">
        <v>784199892059876</v>
      </c>
      <c r="E73" s="55" t="s">
        <v>644</v>
      </c>
      <c r="F73" s="30">
        <v>137288888</v>
      </c>
      <c r="G73" s="27">
        <v>46835</v>
      </c>
      <c r="H73" s="36">
        <v>46841</v>
      </c>
      <c r="I73" s="26"/>
      <c r="J73" s="26"/>
      <c r="K73" s="26"/>
      <c r="L73" s="50"/>
    </row>
    <row r="74" spans="1:12" ht="45" hidden="1" x14ac:dyDescent="0.25">
      <c r="A74" s="43">
        <v>73</v>
      </c>
      <c r="B74" s="35" t="s">
        <v>361</v>
      </c>
      <c r="C74" s="52" t="str">
        <f>INDEX(Com_Scr!C:C,MATCH(Employee_Master!B:B,Com_Scr!B:B))</f>
        <v>ROYAL KATTAN KITCHEN -L.L.C BRANCH</v>
      </c>
      <c r="D74" s="38">
        <v>784197803708391</v>
      </c>
      <c r="E74" s="55" t="s">
        <v>668</v>
      </c>
      <c r="F74" s="30">
        <v>137345594</v>
      </c>
      <c r="G74" s="27">
        <v>46137</v>
      </c>
      <c r="H74" s="36">
        <v>46187</v>
      </c>
      <c r="I74" s="26"/>
      <c r="J74" s="26"/>
      <c r="K74" s="26"/>
      <c r="L74" s="50"/>
    </row>
    <row r="75" spans="1:12" ht="30" hidden="1" x14ac:dyDescent="0.25">
      <c r="A75" s="43">
        <v>74</v>
      </c>
      <c r="B75" s="35" t="s">
        <v>362</v>
      </c>
      <c r="C75" s="52" t="str">
        <f>INDEX(Com_Scr!C:C,MATCH(Employee_Master!B:B,Com_Scr!B:B))</f>
        <v>KATTANS CAFÉ L.L.C</v>
      </c>
      <c r="D75" s="38"/>
      <c r="E75" s="53" t="s">
        <v>670</v>
      </c>
      <c r="F75" s="26">
        <v>127645158</v>
      </c>
      <c r="G75" s="27">
        <v>46192</v>
      </c>
      <c r="H75" s="36" t="s">
        <v>348</v>
      </c>
      <c r="I75" s="26"/>
      <c r="J75" s="26"/>
      <c r="K75" s="26"/>
      <c r="L75" s="50"/>
    </row>
    <row r="76" spans="1:12" ht="45" hidden="1" x14ac:dyDescent="0.25">
      <c r="A76" s="43">
        <v>75</v>
      </c>
      <c r="B76" s="35" t="s">
        <v>362</v>
      </c>
      <c r="C76" s="52" t="str">
        <f>INDEX(Com_Scr!C:C,MATCH(Employee_Master!B:B,Com_Scr!B:B))</f>
        <v>KATTANS CAFÉ L.L.C</v>
      </c>
      <c r="D76" s="38">
        <v>784198646069256</v>
      </c>
      <c r="E76" s="53" t="s">
        <v>672</v>
      </c>
      <c r="F76" s="26">
        <v>131590739</v>
      </c>
      <c r="G76" s="27">
        <v>46673</v>
      </c>
      <c r="H76" s="36">
        <v>46714</v>
      </c>
      <c r="I76" s="26"/>
      <c r="J76" s="26" t="s">
        <v>348</v>
      </c>
      <c r="K76" s="26"/>
      <c r="L76" s="50"/>
    </row>
    <row r="77" spans="1:12" ht="60" hidden="1" x14ac:dyDescent="0.25">
      <c r="A77" s="43">
        <v>76</v>
      </c>
      <c r="B77" s="35" t="s">
        <v>362</v>
      </c>
      <c r="C77" s="52" t="str">
        <f>INDEX(Com_Scr!C:C,MATCH(Employee_Master!B:B,Com_Scr!B:B))</f>
        <v>KATTANS CAFÉ L.L.C</v>
      </c>
      <c r="D77" s="38">
        <v>784197951619804</v>
      </c>
      <c r="E77" s="55" t="s">
        <v>673</v>
      </c>
      <c r="F77" s="30">
        <v>129906241</v>
      </c>
      <c r="G77" s="58">
        <v>46619</v>
      </c>
      <c r="H77" s="36">
        <v>46633</v>
      </c>
      <c r="I77" s="26"/>
      <c r="J77" s="26" t="s">
        <v>348</v>
      </c>
      <c r="K77" s="26"/>
      <c r="L77" s="50"/>
    </row>
    <row r="78" spans="1:12" ht="30" hidden="1" x14ac:dyDescent="0.25">
      <c r="A78" s="43">
        <v>77</v>
      </c>
      <c r="B78" s="35" t="s">
        <v>362</v>
      </c>
      <c r="C78" s="52" t="str">
        <f>INDEX(Com_Scr!C:C,MATCH(Employee_Master!B:B,Com_Scr!B:B))</f>
        <v>KATTANS CAFÉ L.L.C</v>
      </c>
      <c r="D78" s="38">
        <v>784198829817612</v>
      </c>
      <c r="E78" s="55" t="s">
        <v>674</v>
      </c>
      <c r="F78" s="30">
        <v>137192612</v>
      </c>
      <c r="G78" s="58">
        <v>46830</v>
      </c>
      <c r="H78" s="36">
        <v>46867</v>
      </c>
      <c r="I78" s="26"/>
      <c r="J78" s="26"/>
      <c r="K78" s="26"/>
      <c r="L78" s="50"/>
    </row>
    <row r="79" spans="1:12" ht="30" hidden="1" x14ac:dyDescent="0.25">
      <c r="A79" s="43">
        <v>78</v>
      </c>
      <c r="B79" s="35" t="s">
        <v>362</v>
      </c>
      <c r="C79" s="52" t="str">
        <f>INDEX(Com_Scr!C:C,MATCH(Employee_Master!B:B,Com_Scr!B:B))</f>
        <v>KATTANS CAFÉ L.L.C</v>
      </c>
      <c r="D79" s="38">
        <v>784199454284607</v>
      </c>
      <c r="E79" s="55" t="s">
        <v>675</v>
      </c>
      <c r="F79" s="30">
        <v>136719243</v>
      </c>
      <c r="G79" s="58">
        <v>46814</v>
      </c>
      <c r="H79" s="36">
        <v>46867</v>
      </c>
      <c r="I79" s="26"/>
      <c r="J79" s="26"/>
      <c r="K79" s="26"/>
      <c r="L79" s="50"/>
    </row>
    <row r="80" spans="1:12" ht="45" hidden="1" x14ac:dyDescent="0.25">
      <c r="A80" s="43">
        <v>79</v>
      </c>
      <c r="B80" s="35" t="s">
        <v>362</v>
      </c>
      <c r="C80" s="52" t="str">
        <f>INDEX(Com_Scr!C:C,MATCH(Employee_Master!B:B,Com_Scr!B:B))</f>
        <v>KATTANS CAFÉ L.L.C</v>
      </c>
      <c r="D80" s="38">
        <v>784198068305089</v>
      </c>
      <c r="E80" s="55" t="s">
        <v>676</v>
      </c>
      <c r="F80" s="30">
        <v>118636059</v>
      </c>
      <c r="G80" s="58">
        <v>46303</v>
      </c>
      <c r="H80" s="36">
        <v>46324</v>
      </c>
      <c r="I80" s="26"/>
      <c r="J80" s="26" t="s">
        <v>348</v>
      </c>
      <c r="K80" s="26"/>
      <c r="L80" s="50"/>
    </row>
    <row r="81" spans="1:12" ht="45" hidden="1" x14ac:dyDescent="0.25">
      <c r="A81" s="43">
        <v>80</v>
      </c>
      <c r="B81" s="35" t="s">
        <v>362</v>
      </c>
      <c r="C81" s="52" t="str">
        <f>INDEX(Com_Scr!C:C,MATCH(Employee_Master!B:B,Com_Scr!B:B))</f>
        <v>KATTANS CAFÉ L.L.C</v>
      </c>
      <c r="D81" s="38">
        <v>258673595</v>
      </c>
      <c r="E81" s="55" t="s">
        <v>677</v>
      </c>
      <c r="F81" s="30">
        <v>136719246</v>
      </c>
      <c r="G81" s="58">
        <v>46814</v>
      </c>
      <c r="H81" s="36">
        <v>46864</v>
      </c>
      <c r="I81" s="26"/>
      <c r="J81" s="26"/>
      <c r="K81" s="26"/>
      <c r="L81" s="50"/>
    </row>
    <row r="82" spans="1:12" ht="30" hidden="1" x14ac:dyDescent="0.25">
      <c r="A82" s="43">
        <v>81</v>
      </c>
      <c r="B82" s="35" t="s">
        <v>362</v>
      </c>
      <c r="C82" s="52" t="str">
        <f>INDEX(Com_Scr!C:C,MATCH(Employee_Master!B:B,Com_Scr!B:B))</f>
        <v>KATTANS CAFÉ L.L.C</v>
      </c>
      <c r="D82" s="38">
        <v>784199060757699</v>
      </c>
      <c r="E82" s="55" t="s">
        <v>678</v>
      </c>
      <c r="F82" s="30">
        <v>117346807</v>
      </c>
      <c r="G82" s="58">
        <v>46259</v>
      </c>
      <c r="H82" s="36">
        <v>46273</v>
      </c>
      <c r="I82" s="26"/>
      <c r="J82" s="26"/>
      <c r="K82" s="26"/>
      <c r="L82" s="50"/>
    </row>
    <row r="83" spans="1:12" ht="30" hidden="1" x14ac:dyDescent="0.25">
      <c r="A83" s="43">
        <v>82</v>
      </c>
      <c r="B83" s="35" t="s">
        <v>362</v>
      </c>
      <c r="C83" s="52" t="str">
        <f>INDEX(Com_Scr!C:C,MATCH(Employee_Master!B:B,Com_Scr!B:B))</f>
        <v>KATTANS CAFÉ L.L.C</v>
      </c>
      <c r="D83" s="38">
        <v>784199394400412</v>
      </c>
      <c r="E83" s="55" t="s">
        <v>679</v>
      </c>
      <c r="F83" s="30">
        <v>131360217</v>
      </c>
      <c r="G83" s="58">
        <v>46660</v>
      </c>
      <c r="H83" s="36">
        <v>46683</v>
      </c>
      <c r="I83" s="26"/>
      <c r="J83" s="26"/>
      <c r="K83" s="26"/>
      <c r="L83" s="50"/>
    </row>
    <row r="84" spans="1:12" ht="30" hidden="1" x14ac:dyDescent="0.25">
      <c r="A84" s="43">
        <v>83</v>
      </c>
      <c r="B84" s="35" t="s">
        <v>362</v>
      </c>
      <c r="C84" s="52" t="str">
        <f>INDEX(Com_Scr!C:C,MATCH(Employee_Master!B:B,Com_Scr!B:B))</f>
        <v>KATTANS CAFÉ L.L.C</v>
      </c>
      <c r="D84" s="38">
        <v>784200225233921</v>
      </c>
      <c r="E84" s="55" t="s">
        <v>680</v>
      </c>
      <c r="F84" s="30">
        <v>136124919</v>
      </c>
      <c r="G84" s="58">
        <v>46773</v>
      </c>
      <c r="H84" s="36">
        <v>46793</v>
      </c>
      <c r="I84" s="26"/>
      <c r="J84" s="26"/>
      <c r="K84" s="26"/>
      <c r="L84" s="50"/>
    </row>
    <row r="85" spans="1:12" hidden="1" x14ac:dyDescent="0.25">
      <c r="A85" s="43">
        <v>84</v>
      </c>
      <c r="B85" s="35" t="s">
        <v>362</v>
      </c>
      <c r="C85" s="52" t="str">
        <f>INDEX(Com_Scr!C:C,MATCH(Employee_Master!B:B,Com_Scr!B:B))</f>
        <v>KATTANS CAFÉ L.L.C</v>
      </c>
      <c r="D85" s="38">
        <v>784198873914737</v>
      </c>
      <c r="E85" s="55" t="s">
        <v>681</v>
      </c>
      <c r="F85" s="30">
        <v>135627699</v>
      </c>
      <c r="G85" s="58">
        <v>46766</v>
      </c>
      <c r="H85" s="36">
        <v>46767</v>
      </c>
      <c r="I85" s="26"/>
      <c r="J85" s="26" t="s">
        <v>694</v>
      </c>
      <c r="K85" s="26"/>
      <c r="L85" s="50"/>
    </row>
    <row r="86" spans="1:12" ht="30" hidden="1" x14ac:dyDescent="0.25">
      <c r="A86" s="43">
        <v>85</v>
      </c>
      <c r="B86" s="35" t="s">
        <v>362</v>
      </c>
      <c r="C86" s="52" t="str">
        <f>INDEX(Com_Scr!C:C,MATCH(Employee_Master!B:B,Com_Scr!B:B))</f>
        <v>KATTANS CAFÉ L.L.C</v>
      </c>
      <c r="D86" s="38">
        <v>784198160539148</v>
      </c>
      <c r="E86" s="55" t="s">
        <v>682</v>
      </c>
      <c r="F86" s="30">
        <v>124419746</v>
      </c>
      <c r="G86" s="58">
        <v>46413</v>
      </c>
      <c r="H86" s="36">
        <v>46443</v>
      </c>
      <c r="I86" s="26"/>
      <c r="J86" s="26" t="s">
        <v>694</v>
      </c>
      <c r="K86" s="26"/>
      <c r="L86" s="50"/>
    </row>
    <row r="87" spans="1:12" hidden="1" x14ac:dyDescent="0.25">
      <c r="A87" s="43">
        <v>86</v>
      </c>
      <c r="B87" s="35" t="s">
        <v>362</v>
      </c>
      <c r="C87" s="52" t="str">
        <f>INDEX(Com_Scr!C:C,MATCH(Employee_Master!B:B,Com_Scr!B:B))</f>
        <v>KATTANS CAFÉ L.L.C</v>
      </c>
      <c r="D87" s="38">
        <v>784197349379715</v>
      </c>
      <c r="E87" s="55" t="s">
        <v>683</v>
      </c>
      <c r="F87" s="30">
        <v>135424995</v>
      </c>
      <c r="G87" s="58">
        <v>46706</v>
      </c>
      <c r="H87" s="36">
        <v>46768</v>
      </c>
      <c r="I87" s="26"/>
      <c r="J87" s="26"/>
      <c r="K87" s="26"/>
      <c r="L87" s="50"/>
    </row>
    <row r="88" spans="1:12" ht="30" hidden="1" x14ac:dyDescent="0.25">
      <c r="A88" s="43">
        <v>87</v>
      </c>
      <c r="B88" s="35" t="s">
        <v>362</v>
      </c>
      <c r="C88" s="52" t="str">
        <f>INDEX(Com_Scr!C:C,MATCH(Employee_Master!B:B,Com_Scr!B:B))</f>
        <v>KATTANS CAFÉ L.L.C</v>
      </c>
      <c r="D88" s="38">
        <v>784197313970630</v>
      </c>
      <c r="E88" s="55" t="s">
        <v>684</v>
      </c>
      <c r="F88" s="30">
        <v>123908384</v>
      </c>
      <c r="G88" s="27">
        <v>46413</v>
      </c>
      <c r="H88" s="36">
        <v>46459</v>
      </c>
      <c r="I88" s="26"/>
      <c r="J88" s="26"/>
      <c r="K88" s="26"/>
      <c r="L88" s="50"/>
    </row>
    <row r="89" spans="1:12" ht="30" hidden="1" x14ac:dyDescent="0.25">
      <c r="A89" s="43">
        <v>88</v>
      </c>
      <c r="B89" s="35" t="s">
        <v>362</v>
      </c>
      <c r="C89" s="52" t="str">
        <f>INDEX(Com_Scr!C:C,MATCH(Employee_Master!B:B,Com_Scr!B:B))</f>
        <v>KATTANS CAFÉ L.L.C</v>
      </c>
      <c r="D89" s="38">
        <v>784197926203023</v>
      </c>
      <c r="E89" s="55" t="s">
        <v>685</v>
      </c>
      <c r="F89" s="30">
        <v>135846399</v>
      </c>
      <c r="G89" s="27">
        <v>46767</v>
      </c>
      <c r="H89" s="36">
        <v>46779</v>
      </c>
      <c r="I89" s="26"/>
      <c r="J89" s="26"/>
      <c r="K89" s="26"/>
      <c r="L89" s="50"/>
    </row>
    <row r="90" spans="1:12" ht="30" hidden="1" x14ac:dyDescent="0.25">
      <c r="A90" s="43">
        <v>89</v>
      </c>
      <c r="B90" s="35" t="s">
        <v>362</v>
      </c>
      <c r="C90" s="52" t="str">
        <f>INDEX(Com_Scr!C:C,MATCH(Employee_Master!B:B,Com_Scr!B:B))</f>
        <v>KATTANS CAFÉ L.L.C</v>
      </c>
      <c r="D90" s="38">
        <v>784199732348356</v>
      </c>
      <c r="E90" s="55" t="s">
        <v>686</v>
      </c>
      <c r="F90" s="30">
        <v>135771204</v>
      </c>
      <c r="G90" s="27">
        <v>46732</v>
      </c>
      <c r="H90" s="36">
        <v>46761</v>
      </c>
      <c r="I90" s="26"/>
      <c r="J90" s="26"/>
      <c r="K90" s="26"/>
      <c r="L90" s="50"/>
    </row>
    <row r="91" spans="1:12" ht="45" hidden="1" x14ac:dyDescent="0.25">
      <c r="A91" s="43">
        <v>90</v>
      </c>
      <c r="B91" s="35" t="s">
        <v>362</v>
      </c>
      <c r="C91" s="52" t="str">
        <f>INDEX(Com_Scr!C:C,MATCH(Employee_Master!B:B,Com_Scr!B:B))</f>
        <v>KATTANS CAFÉ L.L.C</v>
      </c>
      <c r="D91" s="38">
        <v>784199966641385</v>
      </c>
      <c r="E91" s="55" t="s">
        <v>687</v>
      </c>
      <c r="F91" s="30">
        <v>126315632</v>
      </c>
      <c r="G91" s="27">
        <v>46462</v>
      </c>
      <c r="H91" s="36">
        <v>46503</v>
      </c>
      <c r="I91" s="26"/>
      <c r="J91" s="26"/>
      <c r="K91" s="26"/>
      <c r="L91" s="50"/>
    </row>
    <row r="92" spans="1:12" ht="45" hidden="1" x14ac:dyDescent="0.25">
      <c r="A92" s="43">
        <v>91</v>
      </c>
      <c r="B92" s="35" t="s">
        <v>362</v>
      </c>
      <c r="C92" s="52" t="str">
        <f>INDEX(Com_Scr!C:C,MATCH(Employee_Master!B:B,Com_Scr!B:B))</f>
        <v>KATTANS CAFÉ L.L.C</v>
      </c>
      <c r="D92" s="38">
        <v>784198195490911</v>
      </c>
      <c r="E92" s="55" t="s">
        <v>688</v>
      </c>
      <c r="F92" s="30">
        <v>124919132</v>
      </c>
      <c r="G92" s="27">
        <v>46427</v>
      </c>
      <c r="H92" s="36">
        <v>46459</v>
      </c>
      <c r="I92" s="26"/>
      <c r="J92" s="26" t="s">
        <v>348</v>
      </c>
      <c r="K92" s="26"/>
      <c r="L92" s="50"/>
    </row>
    <row r="93" spans="1:12" ht="45" hidden="1" x14ac:dyDescent="0.25">
      <c r="A93" s="43">
        <v>92</v>
      </c>
      <c r="B93" s="35" t="s">
        <v>362</v>
      </c>
      <c r="C93" s="52" t="str">
        <f>INDEX(Com_Scr!C:C,MATCH(Employee_Master!B:B,Com_Scr!B:B))</f>
        <v>KATTANS CAFÉ L.L.C</v>
      </c>
      <c r="D93" s="38">
        <v>784198521832570</v>
      </c>
      <c r="E93" s="55" t="s">
        <v>689</v>
      </c>
      <c r="F93" s="30">
        <v>127337522</v>
      </c>
      <c r="G93" s="27">
        <v>46493</v>
      </c>
      <c r="H93" s="36">
        <v>46551</v>
      </c>
      <c r="I93" s="26"/>
      <c r="J93" s="26"/>
      <c r="K93" s="26"/>
      <c r="L93" s="50"/>
    </row>
    <row r="94" spans="1:12" ht="30" hidden="1" x14ac:dyDescent="0.25">
      <c r="A94" s="43">
        <v>93</v>
      </c>
      <c r="B94" s="35" t="s">
        <v>362</v>
      </c>
      <c r="C94" s="52" t="str">
        <f>INDEX(Com_Scr!C:C,MATCH(Employee_Master!B:B,Com_Scr!B:B))</f>
        <v>KATTANS CAFÉ L.L.C</v>
      </c>
      <c r="D94" s="38">
        <v>784197875953818</v>
      </c>
      <c r="E94" s="55" t="s">
        <v>690</v>
      </c>
      <c r="F94" s="30">
        <v>124934947</v>
      </c>
      <c r="G94" s="27">
        <v>46426</v>
      </c>
      <c r="H94" s="36">
        <v>46459</v>
      </c>
      <c r="I94" s="26"/>
      <c r="J94" s="26"/>
      <c r="K94" s="26"/>
      <c r="L94" s="50"/>
    </row>
    <row r="95" spans="1:12" ht="45" hidden="1" x14ac:dyDescent="0.25">
      <c r="A95" s="43">
        <v>94</v>
      </c>
      <c r="B95" s="35" t="s">
        <v>362</v>
      </c>
      <c r="C95" s="52" t="str">
        <f>INDEX(Com_Scr!C:C,MATCH(Employee_Master!B:B,Com_Scr!B:B))</f>
        <v>KATTANS CAFÉ L.L.C</v>
      </c>
      <c r="D95" s="38">
        <v>784197872547159</v>
      </c>
      <c r="E95" s="55" t="s">
        <v>691</v>
      </c>
      <c r="F95" s="30">
        <v>128718504</v>
      </c>
      <c r="G95" s="27">
        <v>46525</v>
      </c>
      <c r="H95" s="36">
        <v>46556</v>
      </c>
      <c r="I95" s="26"/>
      <c r="J95" s="26"/>
      <c r="K95" s="26"/>
      <c r="L95" s="50"/>
    </row>
    <row r="96" spans="1:12" hidden="1" x14ac:dyDescent="0.25">
      <c r="A96" s="43">
        <v>95</v>
      </c>
      <c r="B96" s="35" t="s">
        <v>362</v>
      </c>
      <c r="C96" s="52" t="str">
        <f>INDEX(Com_Scr!C:C,MATCH(Employee_Master!B:B,Com_Scr!B:B))</f>
        <v>KATTANS CAFÉ L.L.C</v>
      </c>
      <c r="D96" s="38">
        <v>784200075629418</v>
      </c>
      <c r="E96" s="55" t="s">
        <v>692</v>
      </c>
      <c r="F96" s="30">
        <v>124572088</v>
      </c>
      <c r="G96" s="27">
        <v>46413</v>
      </c>
      <c r="H96" s="36">
        <v>46459</v>
      </c>
      <c r="I96" s="26"/>
      <c r="J96" s="26" t="s">
        <v>348</v>
      </c>
      <c r="K96" s="26"/>
      <c r="L96" s="50"/>
    </row>
    <row r="97" spans="1:12" hidden="1" x14ac:dyDescent="0.25">
      <c r="A97" s="43">
        <v>96</v>
      </c>
      <c r="B97" s="35" t="s">
        <v>362</v>
      </c>
      <c r="C97" s="52" t="str">
        <f>INDEX(Com_Scr!C:C,MATCH(Employee_Master!B:B,Com_Scr!B:B))</f>
        <v>KATTANS CAFÉ L.L.C</v>
      </c>
      <c r="D97" s="38">
        <v>784198042542658</v>
      </c>
      <c r="E97" s="55" t="s">
        <v>693</v>
      </c>
      <c r="F97" s="30">
        <v>124935283</v>
      </c>
      <c r="G97" s="27">
        <v>46432</v>
      </c>
      <c r="H97" s="36">
        <v>46459</v>
      </c>
      <c r="I97" s="26"/>
      <c r="J97" s="26"/>
      <c r="K97" s="26"/>
      <c r="L97" s="50"/>
    </row>
    <row r="98" spans="1:12" ht="30" hidden="1" x14ac:dyDescent="0.25">
      <c r="A98" s="43">
        <v>97</v>
      </c>
      <c r="B98" s="35" t="s">
        <v>363</v>
      </c>
      <c r="C98" s="52" t="str">
        <f>INDEX(Com_Scr!C:C,MATCH(Employee_Master!B:B,Com_Scr!B:B))</f>
        <v>KATTANS CAFE L.L.C. - BRANCH</v>
      </c>
      <c r="D98" s="38" t="s">
        <v>335</v>
      </c>
      <c r="E98" s="55" t="s">
        <v>646</v>
      </c>
      <c r="F98" s="30">
        <v>127687085</v>
      </c>
      <c r="G98" s="27">
        <v>46195</v>
      </c>
      <c r="H98" s="36"/>
      <c r="I98" s="26"/>
      <c r="J98" s="26"/>
      <c r="K98" s="30">
        <v>132572854</v>
      </c>
      <c r="L98" s="51">
        <v>46331</v>
      </c>
    </row>
    <row r="99" spans="1:12" ht="60" hidden="1" x14ac:dyDescent="0.25">
      <c r="A99" s="43">
        <v>98</v>
      </c>
      <c r="B99" s="35" t="s">
        <v>363</v>
      </c>
      <c r="C99" s="52" t="str">
        <f>INDEX(Com_Scr!C:C,MATCH(Employee_Master!B:B,Com_Scr!B:B))</f>
        <v>KATTANS CAFE L.L.C. - BRANCH</v>
      </c>
      <c r="D99" s="38" t="s">
        <v>335</v>
      </c>
      <c r="E99" s="55" t="s">
        <v>647</v>
      </c>
      <c r="F99" s="30">
        <v>131244879</v>
      </c>
      <c r="G99" s="27">
        <v>46290</v>
      </c>
      <c r="H99" s="36"/>
      <c r="I99" s="26"/>
      <c r="J99" s="26"/>
      <c r="K99" s="26"/>
      <c r="L99" s="50"/>
    </row>
    <row r="100" spans="1:12" ht="60" hidden="1" x14ac:dyDescent="0.25">
      <c r="A100" s="43">
        <v>99</v>
      </c>
      <c r="B100" s="35" t="s">
        <v>363</v>
      </c>
      <c r="C100" s="52" t="str">
        <f>INDEX(Com_Scr!C:C,MATCH(Employee_Master!B:B,Com_Scr!B:B))</f>
        <v>KATTANS CAFE L.L.C. - BRANCH</v>
      </c>
      <c r="D100" s="38" t="s">
        <v>335</v>
      </c>
      <c r="E100" s="55" t="s">
        <v>649</v>
      </c>
      <c r="F100" s="30">
        <v>134890182</v>
      </c>
      <c r="G100" s="27">
        <v>46392</v>
      </c>
      <c r="H100" s="36"/>
      <c r="I100" s="26"/>
      <c r="J100" s="26"/>
      <c r="K100" s="26"/>
      <c r="L100" s="50"/>
    </row>
    <row r="101" spans="1:12" ht="30" hidden="1" x14ac:dyDescent="0.25">
      <c r="A101" s="43">
        <v>100</v>
      </c>
      <c r="B101" s="35" t="s">
        <v>363</v>
      </c>
      <c r="C101" s="52" t="str">
        <f>INDEX(Com_Scr!C:C,MATCH(Employee_Master!B:B,Com_Scr!B:B))</f>
        <v>KATTANS CAFE L.L.C. - BRANCH</v>
      </c>
      <c r="D101" s="38">
        <v>784198671693392</v>
      </c>
      <c r="E101" s="55" t="s">
        <v>650</v>
      </c>
      <c r="F101" s="30">
        <v>125923280</v>
      </c>
      <c r="G101" s="27">
        <v>46512</v>
      </c>
      <c r="H101" s="36">
        <v>46529</v>
      </c>
      <c r="I101" s="26"/>
      <c r="J101" s="26"/>
      <c r="K101" s="30">
        <v>132156493</v>
      </c>
      <c r="L101" s="51">
        <v>46318</v>
      </c>
    </row>
    <row r="102" spans="1:12" ht="30" hidden="1" x14ac:dyDescent="0.25">
      <c r="A102" s="43">
        <v>101</v>
      </c>
      <c r="B102" s="35" t="s">
        <v>363</v>
      </c>
      <c r="C102" s="52" t="str">
        <f>INDEX(Com_Scr!C:C,MATCH(Employee_Master!B:B,Com_Scr!B:B))</f>
        <v>KATTANS CAFE L.L.C. - BRANCH</v>
      </c>
      <c r="D102" s="38">
        <v>784200599448048</v>
      </c>
      <c r="E102" s="55" t="s">
        <v>651</v>
      </c>
      <c r="F102" s="30">
        <v>116275886</v>
      </c>
      <c r="G102" s="27">
        <v>46222</v>
      </c>
      <c r="H102" s="36">
        <v>46234</v>
      </c>
      <c r="I102" s="26"/>
      <c r="J102" s="26"/>
      <c r="K102" s="26"/>
      <c r="L102" s="50"/>
    </row>
    <row r="103" spans="1:12" ht="45" hidden="1" x14ac:dyDescent="0.25">
      <c r="A103" s="43">
        <v>102</v>
      </c>
      <c r="B103" s="35" t="s">
        <v>363</v>
      </c>
      <c r="C103" s="52" t="str">
        <f>INDEX(Com_Scr!C:C,MATCH(Employee_Master!B:B,Com_Scr!B:B))</f>
        <v>KATTANS CAFE L.L.C. - BRANCH</v>
      </c>
      <c r="D103" s="38">
        <v>784199681251882</v>
      </c>
      <c r="E103" s="55" t="s">
        <v>652</v>
      </c>
      <c r="F103" s="30">
        <v>132043136</v>
      </c>
      <c r="G103" s="27">
        <v>46681</v>
      </c>
      <c r="H103" s="36">
        <v>46695</v>
      </c>
      <c r="I103" s="26"/>
      <c r="J103" s="26"/>
      <c r="K103" s="26"/>
      <c r="L103" s="50"/>
    </row>
    <row r="104" spans="1:12" ht="30" hidden="1" x14ac:dyDescent="0.25">
      <c r="A104" s="43">
        <v>103</v>
      </c>
      <c r="B104" s="35" t="s">
        <v>363</v>
      </c>
      <c r="C104" s="52" t="str">
        <f>INDEX(Com_Scr!C:C,MATCH(Employee_Master!B:B,Com_Scr!B:B))</f>
        <v>KATTANS CAFE L.L.C. - BRANCH</v>
      </c>
      <c r="D104" s="38">
        <v>784198006858298</v>
      </c>
      <c r="E104" s="55" t="s">
        <v>653</v>
      </c>
      <c r="F104" s="30">
        <v>129906240</v>
      </c>
      <c r="G104" s="27">
        <v>46619</v>
      </c>
      <c r="H104" s="36">
        <v>46632</v>
      </c>
      <c r="I104" s="26"/>
      <c r="J104" s="26"/>
      <c r="K104" s="26"/>
      <c r="L104" s="50"/>
    </row>
    <row r="105" spans="1:12" ht="30" hidden="1" x14ac:dyDescent="0.25">
      <c r="A105" s="43">
        <v>104</v>
      </c>
      <c r="B105" s="35" t="s">
        <v>363</v>
      </c>
      <c r="C105" s="52" t="str">
        <f>INDEX(Com_Scr!C:C,MATCH(Employee_Master!B:B,Com_Scr!B:B))</f>
        <v>KATTANS CAFE L.L.C. - BRANCH</v>
      </c>
      <c r="D105" s="38">
        <v>784196907269417</v>
      </c>
      <c r="E105" s="55" t="s">
        <v>654</v>
      </c>
      <c r="F105" s="30">
        <v>130604508</v>
      </c>
      <c r="G105" s="27">
        <v>46638</v>
      </c>
      <c r="H105" s="36">
        <v>46666</v>
      </c>
      <c r="I105" s="26"/>
      <c r="J105" s="26" t="s">
        <v>348</v>
      </c>
      <c r="K105" s="26"/>
      <c r="L105" s="50"/>
    </row>
    <row r="106" spans="1:12" ht="30" hidden="1" x14ac:dyDescent="0.25">
      <c r="A106" s="43">
        <v>105</v>
      </c>
      <c r="B106" s="35" t="s">
        <v>363</v>
      </c>
      <c r="C106" s="52" t="str">
        <f>INDEX(Com_Scr!C:C,MATCH(Employee_Master!B:B,Com_Scr!B:B))</f>
        <v>KATTANS CAFE L.L.C. - BRANCH</v>
      </c>
      <c r="D106" s="38">
        <v>784200293465231</v>
      </c>
      <c r="E106" s="55" t="s">
        <v>655</v>
      </c>
      <c r="F106" s="30">
        <v>115357213</v>
      </c>
      <c r="G106" s="27">
        <v>46191</v>
      </c>
      <c r="H106" s="36">
        <v>46210</v>
      </c>
      <c r="I106" s="26"/>
      <c r="J106" s="26"/>
      <c r="K106" s="26"/>
      <c r="L106" s="50"/>
    </row>
    <row r="107" spans="1:12" ht="45" hidden="1" x14ac:dyDescent="0.25">
      <c r="A107" s="43">
        <v>106</v>
      </c>
      <c r="B107" s="35" t="s">
        <v>363</v>
      </c>
      <c r="C107" s="52" t="str">
        <f>INDEX(Com_Scr!C:C,MATCH(Employee_Master!B:B,Com_Scr!B:B))</f>
        <v>KATTANS CAFE L.L.C. - BRANCH</v>
      </c>
      <c r="D107" s="38">
        <v>784198617684323</v>
      </c>
      <c r="E107" s="55" t="s">
        <v>656</v>
      </c>
      <c r="F107" s="26">
        <v>133872711</v>
      </c>
      <c r="G107" s="27">
        <v>46733</v>
      </c>
      <c r="H107" s="36">
        <v>46759</v>
      </c>
      <c r="I107" s="26"/>
      <c r="J107" s="26"/>
      <c r="K107" s="26"/>
      <c r="L107" s="50"/>
    </row>
    <row r="108" spans="1:12" ht="60" hidden="1" x14ac:dyDescent="0.25">
      <c r="A108" s="43">
        <v>107</v>
      </c>
      <c r="B108" s="35" t="s">
        <v>363</v>
      </c>
      <c r="C108" s="52" t="str">
        <f>INDEX(Com_Scr!C:C,MATCH(Employee_Master!B:B,Com_Scr!B:B))</f>
        <v>KATTANS CAFE L.L.C. - BRANCH</v>
      </c>
      <c r="D108" s="38">
        <v>784196969108727</v>
      </c>
      <c r="E108" s="55" t="s">
        <v>657</v>
      </c>
      <c r="F108" s="26">
        <v>121918692</v>
      </c>
      <c r="G108" s="27">
        <v>46401</v>
      </c>
      <c r="H108" s="36">
        <v>46410</v>
      </c>
      <c r="I108" s="26"/>
      <c r="J108" s="26"/>
      <c r="K108" s="26"/>
      <c r="L108" s="50"/>
    </row>
    <row r="109" spans="1:12" ht="60" hidden="1" x14ac:dyDescent="0.25">
      <c r="A109" s="43">
        <v>108</v>
      </c>
      <c r="B109" s="35" t="s">
        <v>363</v>
      </c>
      <c r="C109" s="52" t="str">
        <f>INDEX(Com_Scr!C:C,MATCH(Employee_Master!B:B,Com_Scr!B:B))</f>
        <v>KATTANS CAFE L.L.C. - BRANCH</v>
      </c>
      <c r="D109" s="38">
        <v>784198273327761</v>
      </c>
      <c r="E109" s="55" t="s">
        <v>658</v>
      </c>
      <c r="F109" s="26">
        <v>134592393</v>
      </c>
      <c r="G109" s="27">
        <v>46773</v>
      </c>
      <c r="H109" s="36">
        <v>46788</v>
      </c>
      <c r="I109" s="26"/>
      <c r="J109" s="26"/>
      <c r="K109" s="26"/>
      <c r="L109" s="50"/>
    </row>
    <row r="110" spans="1:12" ht="30" hidden="1" x14ac:dyDescent="0.25">
      <c r="A110" s="43">
        <v>109</v>
      </c>
      <c r="B110" s="35" t="s">
        <v>363</v>
      </c>
      <c r="C110" s="52" t="str">
        <f>INDEX(Com_Scr!C:C,MATCH(Employee_Master!B:B,Com_Scr!B:B))</f>
        <v>KATTANS CAFE L.L.C. - BRANCH</v>
      </c>
      <c r="D110" s="38">
        <v>784200445917691</v>
      </c>
      <c r="E110" s="55" t="s">
        <v>659</v>
      </c>
      <c r="F110" s="26">
        <v>134868134</v>
      </c>
      <c r="G110" s="27">
        <v>46761</v>
      </c>
      <c r="H110" s="36">
        <v>46779</v>
      </c>
      <c r="I110" s="26"/>
      <c r="J110" s="26"/>
      <c r="K110" s="26"/>
      <c r="L110" s="50"/>
    </row>
    <row r="111" spans="1:12" ht="30" hidden="1" x14ac:dyDescent="0.25">
      <c r="A111" s="43">
        <v>110</v>
      </c>
      <c r="B111" s="35" t="s">
        <v>363</v>
      </c>
      <c r="C111" s="52" t="str">
        <f>INDEX(Com_Scr!C:C,MATCH(Employee_Master!B:B,Com_Scr!B:B))</f>
        <v>KATTANS CAFE L.L.C. - BRANCH</v>
      </c>
      <c r="D111" s="38">
        <v>784198590665331</v>
      </c>
      <c r="E111" s="55" t="s">
        <v>660</v>
      </c>
      <c r="F111" s="26">
        <v>127126257</v>
      </c>
      <c r="G111" s="27">
        <v>46546</v>
      </c>
      <c r="H111" s="36">
        <v>46563</v>
      </c>
      <c r="I111" s="26"/>
      <c r="J111" s="26"/>
      <c r="K111" s="26"/>
      <c r="L111" s="50"/>
    </row>
    <row r="112" spans="1:12" ht="45" hidden="1" x14ac:dyDescent="0.25">
      <c r="A112" s="43">
        <v>111</v>
      </c>
      <c r="B112" s="35" t="s">
        <v>363</v>
      </c>
      <c r="C112" s="52" t="str">
        <f>INDEX(Com_Scr!C:C,MATCH(Employee_Master!B:B,Com_Scr!B:B))</f>
        <v>KATTANS CAFE L.L.C. - BRANCH</v>
      </c>
      <c r="D112" s="38">
        <v>784198516029505</v>
      </c>
      <c r="E112" s="55" t="s">
        <v>661</v>
      </c>
      <c r="F112" s="26">
        <v>115357976</v>
      </c>
      <c r="G112" s="27">
        <v>46191</v>
      </c>
      <c r="H112" s="36">
        <v>46210</v>
      </c>
      <c r="I112" s="26"/>
      <c r="J112" s="26"/>
      <c r="K112" s="26"/>
      <c r="L112" s="50"/>
    </row>
    <row r="113" spans="1:12" ht="30" hidden="1" x14ac:dyDescent="0.25">
      <c r="A113" s="43">
        <v>112</v>
      </c>
      <c r="B113" s="35" t="s">
        <v>363</v>
      </c>
      <c r="C113" s="52" t="str">
        <f>INDEX(Com_Scr!C:C,MATCH(Employee_Master!B:B,Com_Scr!B:B))</f>
        <v>KATTANS CAFE L.L.C. - BRANCH</v>
      </c>
      <c r="D113" s="38">
        <v>784199637425200</v>
      </c>
      <c r="E113" s="55" t="s">
        <v>662</v>
      </c>
      <c r="F113" s="26">
        <v>133750134</v>
      </c>
      <c r="G113" s="27">
        <v>46707</v>
      </c>
      <c r="H113" s="36">
        <v>46725</v>
      </c>
      <c r="I113" s="26"/>
      <c r="J113" s="26"/>
      <c r="K113" s="26"/>
      <c r="L113" s="50"/>
    </row>
    <row r="114" spans="1:12" ht="60" hidden="1" x14ac:dyDescent="0.25">
      <c r="A114" s="43">
        <v>113</v>
      </c>
      <c r="B114" s="35" t="s">
        <v>363</v>
      </c>
      <c r="C114" s="52" t="str">
        <f>INDEX(Com_Scr!C:C,MATCH(Employee_Master!B:B,Com_Scr!B:B))</f>
        <v>KATTANS CAFE L.L.C. - BRANCH</v>
      </c>
      <c r="D114" s="38">
        <v>784198358961310</v>
      </c>
      <c r="E114" s="55" t="s">
        <v>663</v>
      </c>
      <c r="F114" s="26">
        <v>134608004</v>
      </c>
      <c r="G114" s="27">
        <v>46735</v>
      </c>
      <c r="H114" s="36">
        <v>46761</v>
      </c>
      <c r="I114" s="26"/>
      <c r="J114" s="26"/>
      <c r="K114" s="26"/>
      <c r="L114" s="50"/>
    </row>
    <row r="115" spans="1:12" ht="75" hidden="1" x14ac:dyDescent="0.25">
      <c r="A115" s="43">
        <v>114</v>
      </c>
      <c r="B115" s="35" t="s">
        <v>366</v>
      </c>
      <c r="C115" s="52" t="str">
        <f>INDEX(Com_Scr!C:C,MATCH(Employee_Master!B:B,Com_Scr!B:B))</f>
        <v>WAY 2 WAY PASSENGER TRANSPORT BY RENTED BUSES - L.L.C - S.P.C</v>
      </c>
      <c r="D115" s="38">
        <v>784199121545307</v>
      </c>
      <c r="E115" s="55" t="s">
        <v>617</v>
      </c>
      <c r="F115" s="30">
        <v>120994725</v>
      </c>
      <c r="G115" s="29">
        <v>46374</v>
      </c>
      <c r="H115" s="36">
        <v>46379</v>
      </c>
      <c r="I115" s="26"/>
      <c r="J115" s="26"/>
      <c r="K115" s="26"/>
      <c r="L115" s="50"/>
    </row>
    <row r="116" spans="1:12" ht="75" hidden="1" x14ac:dyDescent="0.25">
      <c r="A116" s="43">
        <v>115</v>
      </c>
      <c r="B116" s="35" t="s">
        <v>366</v>
      </c>
      <c r="C116" s="52" t="str">
        <f>INDEX(Com_Scr!C:C,MATCH(Employee_Master!B:B,Com_Scr!B:B))</f>
        <v>WAY 2 WAY PASSENGER TRANSPORT BY RENTED BUSES - L.L.C - S.P.C</v>
      </c>
      <c r="D116" s="38">
        <v>784197341763197</v>
      </c>
      <c r="E116" s="55" t="s">
        <v>618</v>
      </c>
      <c r="F116" s="30">
        <v>127734375</v>
      </c>
      <c r="G116" s="29">
        <v>46561</v>
      </c>
      <c r="H116" s="36">
        <v>46564</v>
      </c>
      <c r="I116" s="26"/>
      <c r="J116" s="26"/>
      <c r="K116" s="26"/>
      <c r="L116" s="50"/>
    </row>
    <row r="117" spans="1:12" ht="75" hidden="1" x14ac:dyDescent="0.25">
      <c r="A117" s="43">
        <v>116</v>
      </c>
      <c r="B117" s="35" t="s">
        <v>366</v>
      </c>
      <c r="C117" s="52" t="str">
        <f>INDEX(Com_Scr!C:C,MATCH(Employee_Master!B:B,Com_Scr!B:B))</f>
        <v>WAY 2 WAY PASSENGER TRANSPORT BY RENTED BUSES - L.L.C - S.P.C</v>
      </c>
      <c r="D117" s="38">
        <v>784198296094042</v>
      </c>
      <c r="E117" s="55" t="s">
        <v>619</v>
      </c>
      <c r="F117" s="30">
        <v>134775887</v>
      </c>
      <c r="G117" s="29">
        <v>46759</v>
      </c>
      <c r="H117" s="36">
        <v>46763</v>
      </c>
      <c r="I117" s="26"/>
      <c r="J117" s="26"/>
      <c r="K117" s="26"/>
      <c r="L117" s="50"/>
    </row>
    <row r="118" spans="1:12" ht="75" hidden="1" x14ac:dyDescent="0.25">
      <c r="A118" s="43">
        <v>117</v>
      </c>
      <c r="B118" s="35" t="s">
        <v>366</v>
      </c>
      <c r="C118" s="52" t="str">
        <f>INDEX(Com_Scr!C:C,MATCH(Employee_Master!B:B,Com_Scr!B:B))</f>
        <v>WAY 2 WAY PASSENGER TRANSPORT BY RENTED BUSES - L.L.C - S.P.C</v>
      </c>
      <c r="D118" s="38">
        <v>784198838146482</v>
      </c>
      <c r="E118" s="55" t="s">
        <v>620</v>
      </c>
      <c r="F118" s="30">
        <v>126202625</v>
      </c>
      <c r="G118" s="29">
        <v>46519</v>
      </c>
      <c r="H118" s="36">
        <v>46534</v>
      </c>
      <c r="I118" s="26"/>
      <c r="J118" s="26"/>
      <c r="K118" s="26">
        <v>136841456</v>
      </c>
      <c r="L118" s="51">
        <v>46452</v>
      </c>
    </row>
    <row r="119" spans="1:12" ht="75" hidden="1" x14ac:dyDescent="0.25">
      <c r="A119" s="43">
        <v>118</v>
      </c>
      <c r="B119" s="35" t="s">
        <v>366</v>
      </c>
      <c r="C119" s="52" t="str">
        <f>INDEX(Com_Scr!C:C,MATCH(Employee_Master!B:B,Com_Scr!B:B))</f>
        <v>WAY 2 WAY PASSENGER TRANSPORT BY RENTED BUSES - L.L.C - S.P.C</v>
      </c>
      <c r="D119" s="38">
        <v>784199218281360</v>
      </c>
      <c r="E119" s="55" t="s">
        <v>621</v>
      </c>
      <c r="F119" s="30">
        <v>116189447</v>
      </c>
      <c r="G119" s="29">
        <v>46219</v>
      </c>
      <c r="H119" s="36">
        <v>46221</v>
      </c>
      <c r="I119" s="26"/>
      <c r="J119" s="26"/>
      <c r="K119" s="26"/>
      <c r="L119" s="50"/>
    </row>
    <row r="120" spans="1:12" ht="75" hidden="1" x14ac:dyDescent="0.25">
      <c r="A120" s="43">
        <v>119</v>
      </c>
      <c r="B120" s="35" t="s">
        <v>366</v>
      </c>
      <c r="C120" s="52" t="str">
        <f>INDEX(Com_Scr!C:C,MATCH(Employee_Master!B:B,Com_Scr!B:B))</f>
        <v>WAY 2 WAY PASSENGER TRANSPORT BY RENTED BUSES - L.L.C - S.P.C</v>
      </c>
      <c r="D120" s="38">
        <v>784196616465249</v>
      </c>
      <c r="E120" s="55" t="s">
        <v>622</v>
      </c>
      <c r="F120" s="30">
        <v>122378860</v>
      </c>
      <c r="G120" s="29">
        <v>46403</v>
      </c>
      <c r="H120" s="36">
        <v>46423</v>
      </c>
      <c r="I120" s="26"/>
      <c r="J120" s="26"/>
      <c r="K120" s="26"/>
      <c r="L120" s="50"/>
    </row>
    <row r="121" spans="1:12" ht="75" hidden="1" x14ac:dyDescent="0.25">
      <c r="A121" s="43">
        <v>120</v>
      </c>
      <c r="B121" s="35" t="s">
        <v>366</v>
      </c>
      <c r="C121" s="52" t="str">
        <f>INDEX(Com_Scr!C:C,MATCH(Employee_Master!B:B,Com_Scr!B:B))</f>
        <v>WAY 2 WAY PASSENGER TRANSPORT BY RENTED BUSES - L.L.C - S.P.C</v>
      </c>
      <c r="D121" s="38">
        <v>784198406538540</v>
      </c>
      <c r="E121" s="55" t="s">
        <v>623</v>
      </c>
      <c r="F121" s="30">
        <v>128401544</v>
      </c>
      <c r="G121" s="29">
        <v>46556</v>
      </c>
      <c r="H121" s="36">
        <v>46569</v>
      </c>
      <c r="I121" s="26"/>
      <c r="J121" s="26"/>
      <c r="K121" s="26"/>
      <c r="L121" s="50"/>
    </row>
    <row r="122" spans="1:12" ht="75" hidden="1" x14ac:dyDescent="0.25">
      <c r="A122" s="43">
        <v>121</v>
      </c>
      <c r="B122" s="35" t="s">
        <v>366</v>
      </c>
      <c r="C122" s="52" t="str">
        <f>INDEX(Com_Scr!C:C,MATCH(Employee_Master!B:B,Com_Scr!B:B))</f>
        <v>WAY 2 WAY PASSENGER TRANSPORT BY RENTED BUSES - L.L.C - S.P.C</v>
      </c>
      <c r="D122" s="38">
        <v>784198753996754</v>
      </c>
      <c r="E122" s="55" t="s">
        <v>624</v>
      </c>
      <c r="F122" s="30">
        <v>119976460</v>
      </c>
      <c r="G122" s="29">
        <v>46334</v>
      </c>
      <c r="H122" s="36">
        <v>46342</v>
      </c>
      <c r="I122" s="26"/>
      <c r="J122" s="26"/>
      <c r="K122" s="26"/>
      <c r="L122" s="50"/>
    </row>
    <row r="123" spans="1:12" ht="75" hidden="1" x14ac:dyDescent="0.25">
      <c r="A123" s="43">
        <v>122</v>
      </c>
      <c r="B123" s="35" t="s">
        <v>366</v>
      </c>
      <c r="C123" s="52" t="str">
        <f>INDEX(Com_Scr!C:C,MATCH(Employee_Master!B:B,Com_Scr!B:B))</f>
        <v>WAY 2 WAY PASSENGER TRANSPORT BY RENTED BUSES - L.L.C - S.P.C</v>
      </c>
      <c r="D123" s="38">
        <v>784198410826170</v>
      </c>
      <c r="E123" s="55" t="s">
        <v>625</v>
      </c>
      <c r="F123" s="30">
        <v>116508673</v>
      </c>
      <c r="G123" s="29">
        <v>46265</v>
      </c>
      <c r="H123" s="36">
        <v>46231</v>
      </c>
      <c r="I123" s="26"/>
      <c r="J123" s="26"/>
      <c r="K123" s="26"/>
      <c r="L123" s="50"/>
    </row>
    <row r="124" spans="1:12" ht="75" hidden="1" x14ac:dyDescent="0.25">
      <c r="A124" s="43">
        <v>123</v>
      </c>
      <c r="B124" s="35" t="s">
        <v>366</v>
      </c>
      <c r="C124" s="52" t="str">
        <f>INDEX(Com_Scr!C:C,MATCH(Employee_Master!B:B,Com_Scr!B:B))</f>
        <v>WAY 2 WAY PASSENGER TRANSPORT BY RENTED BUSES - L.L.C - S.P.C</v>
      </c>
      <c r="D124" s="38">
        <v>784199618361531</v>
      </c>
      <c r="E124" s="55" t="s">
        <v>626</v>
      </c>
      <c r="F124" s="30">
        <v>124496279</v>
      </c>
      <c r="G124" s="29">
        <v>46440</v>
      </c>
      <c r="H124" s="36">
        <v>46461</v>
      </c>
      <c r="I124" s="26"/>
      <c r="J124" s="26"/>
      <c r="K124" s="26"/>
      <c r="L124" s="50"/>
    </row>
    <row r="125" spans="1:12" ht="75" hidden="1" x14ac:dyDescent="0.25">
      <c r="A125" s="43">
        <v>124</v>
      </c>
      <c r="B125" s="35" t="s">
        <v>366</v>
      </c>
      <c r="C125" s="52" t="str">
        <f>INDEX(Com_Scr!C:C,MATCH(Employee_Master!B:B,Com_Scr!B:B))</f>
        <v>WAY 2 WAY PASSENGER TRANSPORT BY RENTED BUSES - L.L.C - S.P.C</v>
      </c>
      <c r="D125" s="38">
        <v>784199005106069</v>
      </c>
      <c r="E125" s="55" t="s">
        <v>627</v>
      </c>
      <c r="F125" s="30">
        <v>123447875</v>
      </c>
      <c r="G125" s="29">
        <v>46414</v>
      </c>
      <c r="H125" s="36">
        <v>46423</v>
      </c>
      <c r="I125" s="26"/>
      <c r="J125" s="26"/>
      <c r="K125" s="26"/>
      <c r="L125" s="50"/>
    </row>
    <row r="126" spans="1:12" ht="75" hidden="1" x14ac:dyDescent="0.25">
      <c r="A126" s="43">
        <v>125</v>
      </c>
      <c r="B126" s="35" t="s">
        <v>366</v>
      </c>
      <c r="C126" s="52" t="str">
        <f>INDEX(Com_Scr!C:C,MATCH(Employee_Master!B:B,Com_Scr!B:B))</f>
        <v>WAY 2 WAY PASSENGER TRANSPORT BY RENTED BUSES - L.L.C - S.P.C</v>
      </c>
      <c r="D126" s="38">
        <v>784198006950590</v>
      </c>
      <c r="E126" s="55" t="s">
        <v>628</v>
      </c>
      <c r="F126" s="30">
        <v>118711228</v>
      </c>
      <c r="G126" s="29">
        <v>46270</v>
      </c>
      <c r="H126" s="36">
        <v>46279</v>
      </c>
      <c r="I126" s="26"/>
      <c r="J126" s="26" t="s">
        <v>348</v>
      </c>
      <c r="K126" s="26"/>
      <c r="L126" s="50"/>
    </row>
    <row r="127" spans="1:12" ht="75" hidden="1" x14ac:dyDescent="0.25">
      <c r="A127" s="43">
        <v>126</v>
      </c>
      <c r="B127" s="35" t="s">
        <v>366</v>
      </c>
      <c r="C127" s="52" t="str">
        <f>INDEX(Com_Scr!C:C,MATCH(Employee_Master!B:B,Com_Scr!B:B))</f>
        <v>WAY 2 WAY PASSENGER TRANSPORT BY RENTED BUSES - L.L.C - S.P.C</v>
      </c>
      <c r="D127" s="38">
        <v>784198225914393</v>
      </c>
      <c r="E127" s="55" t="s">
        <v>629</v>
      </c>
      <c r="F127" s="30">
        <v>135061734</v>
      </c>
      <c r="G127" s="29">
        <v>46760</v>
      </c>
      <c r="H127" s="36">
        <v>46766</v>
      </c>
      <c r="I127" s="26"/>
      <c r="J127" s="26"/>
      <c r="K127" s="26"/>
      <c r="L127" s="50"/>
    </row>
    <row r="128" spans="1:12" ht="75" hidden="1" x14ac:dyDescent="0.25">
      <c r="A128" s="43">
        <v>127</v>
      </c>
      <c r="B128" s="35" t="s">
        <v>366</v>
      </c>
      <c r="C128" s="52" t="str">
        <f>INDEX(Com_Scr!C:C,MATCH(Employee_Master!B:B,Com_Scr!B:B))</f>
        <v>WAY 2 WAY PASSENGER TRANSPORT BY RENTED BUSES - L.L.C - S.P.C</v>
      </c>
      <c r="D128" s="38">
        <v>784198938795915</v>
      </c>
      <c r="E128" s="55" t="s">
        <v>630</v>
      </c>
      <c r="F128" s="30">
        <v>129325090</v>
      </c>
      <c r="G128" s="29">
        <v>46594</v>
      </c>
      <c r="H128" s="36">
        <v>46599</v>
      </c>
      <c r="I128" s="26"/>
      <c r="J128" s="26"/>
      <c r="K128" s="26"/>
      <c r="L128" s="50"/>
    </row>
    <row r="129" spans="1:12" ht="75" hidden="1" x14ac:dyDescent="0.25">
      <c r="A129" s="43">
        <v>128</v>
      </c>
      <c r="B129" s="35" t="s">
        <v>366</v>
      </c>
      <c r="C129" s="52" t="str">
        <f>INDEX(Com_Scr!C:C,MATCH(Employee_Master!B:B,Com_Scr!B:B))</f>
        <v>WAY 2 WAY PASSENGER TRANSPORT BY RENTED BUSES - L.L.C - S.P.C</v>
      </c>
      <c r="D129" s="38">
        <v>784194719197575</v>
      </c>
      <c r="E129" s="55" t="s">
        <v>631</v>
      </c>
      <c r="F129" s="30">
        <v>126531114</v>
      </c>
      <c r="G129" s="29">
        <v>46488</v>
      </c>
      <c r="H129" s="36">
        <v>46498</v>
      </c>
      <c r="I129" s="26"/>
      <c r="J129" s="26"/>
      <c r="K129" s="26"/>
      <c r="L129" s="50"/>
    </row>
    <row r="130" spans="1:12" ht="75" hidden="1" x14ac:dyDescent="0.25">
      <c r="A130" s="43">
        <v>129</v>
      </c>
      <c r="B130" s="35" t="s">
        <v>366</v>
      </c>
      <c r="C130" s="52" t="str">
        <f>INDEX(Com_Scr!C:C,MATCH(Employee_Master!B:B,Com_Scr!B:B))</f>
        <v>WAY 2 WAY PASSENGER TRANSPORT BY RENTED BUSES - L.L.C - S.P.C</v>
      </c>
      <c r="D130" s="38">
        <v>784197386540989</v>
      </c>
      <c r="E130" s="55" t="s">
        <v>632</v>
      </c>
      <c r="F130" s="30">
        <v>123546663</v>
      </c>
      <c r="G130" s="29">
        <v>46471</v>
      </c>
      <c r="H130" s="36">
        <v>46445</v>
      </c>
      <c r="I130" s="26"/>
      <c r="J130" s="26"/>
      <c r="K130" s="26"/>
      <c r="L130" s="50"/>
    </row>
    <row r="131" spans="1:12" ht="75" hidden="1" x14ac:dyDescent="0.25">
      <c r="A131" s="43">
        <v>130</v>
      </c>
      <c r="B131" s="35" t="s">
        <v>366</v>
      </c>
      <c r="C131" s="52" t="str">
        <f>INDEX(Com_Scr!C:C,MATCH(Employee_Master!B:B,Com_Scr!B:B))</f>
        <v>WAY 2 WAY PASSENGER TRANSPORT BY RENTED BUSES - L.L.C - S.P.C</v>
      </c>
      <c r="D131" s="38">
        <v>784197969490651</v>
      </c>
      <c r="E131" s="55" t="s">
        <v>633</v>
      </c>
      <c r="F131" s="30">
        <v>124188109</v>
      </c>
      <c r="G131" s="29">
        <v>46406</v>
      </c>
      <c r="H131" s="36">
        <v>46460</v>
      </c>
      <c r="I131" s="26"/>
      <c r="J131" s="26"/>
      <c r="K131" s="26"/>
      <c r="L131" s="50"/>
    </row>
    <row r="132" spans="1:12" ht="75" hidden="1" x14ac:dyDescent="0.25">
      <c r="A132" s="43">
        <v>131</v>
      </c>
      <c r="B132" s="35" t="s">
        <v>366</v>
      </c>
      <c r="C132" s="52" t="str">
        <f>INDEX(Com_Scr!C:C,MATCH(Employee_Master!B:B,Com_Scr!B:B))</f>
        <v>WAY 2 WAY PASSENGER TRANSPORT BY RENTED BUSES - L.L.C - S.P.C</v>
      </c>
      <c r="D132" s="38">
        <v>784198517208215</v>
      </c>
      <c r="E132" s="55" t="s">
        <v>634</v>
      </c>
      <c r="F132" s="30">
        <v>125706898</v>
      </c>
      <c r="G132" s="29">
        <v>46522</v>
      </c>
      <c r="H132" s="36">
        <v>46506</v>
      </c>
      <c r="I132" s="26"/>
      <c r="J132" s="26"/>
      <c r="K132" s="26"/>
      <c r="L132" s="50"/>
    </row>
    <row r="133" spans="1:12" ht="45" hidden="1" x14ac:dyDescent="0.25">
      <c r="A133" s="43">
        <v>132</v>
      </c>
      <c r="B133" s="35" t="s">
        <v>367</v>
      </c>
      <c r="C133" s="52" t="str">
        <f>INDEX(Com_Scr!C:C,MATCH(Employee_Master!B:B,Com_Scr!B:B))</f>
        <v>WAY 2 WAY TOURS AND SAFARI - L.L.C - S.P.C</v>
      </c>
      <c r="D133" s="38">
        <v>784199154765178</v>
      </c>
      <c r="E133" s="55" t="s">
        <v>786</v>
      </c>
      <c r="F133" s="30">
        <v>116158843</v>
      </c>
      <c r="G133" s="29">
        <v>46219</v>
      </c>
      <c r="H133" s="36">
        <v>46222</v>
      </c>
      <c r="I133" s="26"/>
      <c r="J133" s="26"/>
      <c r="K133" s="26"/>
      <c r="L133" s="50"/>
    </row>
    <row r="134" spans="1:12" ht="45" hidden="1" x14ac:dyDescent="0.25">
      <c r="A134" s="43">
        <v>133</v>
      </c>
      <c r="B134" s="35" t="s">
        <v>367</v>
      </c>
      <c r="C134" s="52" t="str">
        <f>INDEX(Com_Scr!C:C,MATCH(Employee_Master!B:B,Com_Scr!B:B))</f>
        <v>WAY 2 WAY TOURS AND SAFARI - L.L.C - S.P.C</v>
      </c>
      <c r="D134" s="38">
        <v>784197079875247</v>
      </c>
      <c r="E134" s="55" t="s">
        <v>787</v>
      </c>
      <c r="F134" s="30">
        <v>124274869</v>
      </c>
      <c r="G134" s="29">
        <v>46463</v>
      </c>
      <c r="H134" s="36">
        <v>46470</v>
      </c>
      <c r="I134" s="26"/>
      <c r="J134" s="26"/>
      <c r="K134" s="26"/>
      <c r="L134" s="50"/>
    </row>
    <row r="135" spans="1:12" ht="45" hidden="1" x14ac:dyDescent="0.25">
      <c r="A135" s="43">
        <v>134</v>
      </c>
      <c r="B135" s="35" t="s">
        <v>367</v>
      </c>
      <c r="C135" s="52" t="str">
        <f>INDEX(Com_Scr!C:C,MATCH(Employee_Master!B:B,Com_Scr!B:B))</f>
        <v>WAY 2 WAY TOURS AND SAFARI - L.L.C - S.P.C</v>
      </c>
      <c r="D135" s="38">
        <v>784198068357361</v>
      </c>
      <c r="E135" s="55" t="s">
        <v>788</v>
      </c>
      <c r="F135" s="30">
        <v>126039358</v>
      </c>
      <c r="G135" s="29">
        <v>46514</v>
      </c>
      <c r="H135" s="36">
        <v>46519</v>
      </c>
      <c r="I135" s="26"/>
      <c r="J135" s="26"/>
      <c r="K135" s="26"/>
      <c r="L135" s="50"/>
    </row>
    <row r="136" spans="1:12" ht="45" hidden="1" x14ac:dyDescent="0.25">
      <c r="A136" s="43">
        <v>135</v>
      </c>
      <c r="B136" s="35" t="s">
        <v>367</v>
      </c>
      <c r="C136" s="52" t="str">
        <f>INDEX(Com_Scr!C:C,MATCH(Employee_Master!B:B,Com_Scr!B:B))</f>
        <v>WAY 2 WAY TOURS AND SAFARI - L.L.C - S.P.C</v>
      </c>
      <c r="D136" s="38">
        <v>784199631054394</v>
      </c>
      <c r="E136" s="55" t="s">
        <v>789</v>
      </c>
      <c r="F136" s="30">
        <v>128879226</v>
      </c>
      <c r="G136" s="29">
        <v>46589</v>
      </c>
      <c r="H136" s="36">
        <v>46595</v>
      </c>
      <c r="I136" s="26"/>
      <c r="J136" s="26"/>
      <c r="K136" s="26"/>
      <c r="L136" s="50"/>
    </row>
    <row r="137" spans="1:12" ht="45" hidden="1" x14ac:dyDescent="0.25">
      <c r="A137" s="43">
        <v>136</v>
      </c>
      <c r="B137" s="35" t="s">
        <v>367</v>
      </c>
      <c r="C137" s="52" t="str">
        <f>INDEX(Com_Scr!C:C,MATCH(Employee_Master!B:B,Com_Scr!B:B))</f>
        <v>WAY 2 WAY TOURS AND SAFARI - L.L.C - S.P.C</v>
      </c>
      <c r="D137" s="38">
        <v>784200666794753</v>
      </c>
      <c r="E137" s="55" t="s">
        <v>790</v>
      </c>
      <c r="F137" s="30">
        <v>136746842</v>
      </c>
      <c r="G137" s="29">
        <v>46815</v>
      </c>
      <c r="H137" s="36">
        <v>46821</v>
      </c>
      <c r="I137" s="26"/>
      <c r="J137" s="26"/>
      <c r="K137" s="26"/>
      <c r="L137" s="50"/>
    </row>
    <row r="138" spans="1:12" ht="45" hidden="1" x14ac:dyDescent="0.25">
      <c r="A138" s="43">
        <v>137</v>
      </c>
      <c r="B138" s="35" t="s">
        <v>367</v>
      </c>
      <c r="C138" s="52" t="str">
        <f>INDEX(Com_Scr!C:C,MATCH(Employee_Master!B:B,Com_Scr!B:B))</f>
        <v>WAY 2 WAY TOURS AND SAFARI - L.L.C - S.P.C</v>
      </c>
      <c r="D138" s="38">
        <v>784198759470846</v>
      </c>
      <c r="E138" s="55" t="s">
        <v>791</v>
      </c>
      <c r="F138" s="30">
        <v>121965175</v>
      </c>
      <c r="G138" s="29">
        <v>46402</v>
      </c>
      <c r="H138" s="36">
        <v>46408</v>
      </c>
      <c r="I138" s="26"/>
      <c r="J138" s="26"/>
      <c r="K138" s="26"/>
      <c r="L138" s="50"/>
    </row>
    <row r="139" spans="1:12" ht="45" hidden="1" x14ac:dyDescent="0.25">
      <c r="A139" s="43">
        <v>138</v>
      </c>
      <c r="B139" s="35" t="s">
        <v>367</v>
      </c>
      <c r="C139" s="52" t="str">
        <f>INDEX(Com_Scr!C:C,MATCH(Employee_Master!B:B,Com_Scr!B:B))</f>
        <v>WAY 2 WAY TOURS AND SAFARI - L.L.C - S.P.C</v>
      </c>
      <c r="D139" s="38">
        <v>784199215718653</v>
      </c>
      <c r="E139" s="55" t="s">
        <v>792</v>
      </c>
      <c r="F139" s="30">
        <v>134040281</v>
      </c>
      <c r="G139" s="29">
        <v>46727</v>
      </c>
      <c r="H139" s="36">
        <v>46732</v>
      </c>
      <c r="I139" s="26"/>
      <c r="J139" s="26"/>
      <c r="K139" s="26"/>
      <c r="L139" s="50"/>
    </row>
    <row r="140" spans="1:12" ht="45" hidden="1" x14ac:dyDescent="0.25">
      <c r="A140" s="43">
        <v>139</v>
      </c>
      <c r="B140" s="35" t="s">
        <v>367</v>
      </c>
      <c r="C140" s="52" t="str">
        <f>INDEX(Com_Scr!C:C,MATCH(Employee_Master!B:B,Com_Scr!B:B))</f>
        <v>WAY 2 WAY TOURS AND SAFARI - L.L.C - S.P.C</v>
      </c>
      <c r="D140" s="38">
        <v>784197858274653</v>
      </c>
      <c r="E140" s="55" t="s">
        <v>793</v>
      </c>
      <c r="F140" s="30">
        <v>135771078</v>
      </c>
      <c r="G140" s="29">
        <v>46788</v>
      </c>
      <c r="H140" s="36">
        <v>46785</v>
      </c>
      <c r="I140" s="26"/>
      <c r="J140" s="26"/>
      <c r="K140" s="26"/>
      <c r="L140" s="50"/>
    </row>
    <row r="141" spans="1:12" ht="60" hidden="1" x14ac:dyDescent="0.25">
      <c r="A141" s="43">
        <v>140</v>
      </c>
      <c r="B141" s="35" t="s">
        <v>369</v>
      </c>
      <c r="C141" s="52" t="str">
        <f>INDEX(Com_Scr!C:C,MATCH(Employee_Master!B:B,Com_Scr!B:B))</f>
        <v>WADI RENTAL EQUIPMENT CONSTRUCTION - L.L.C - S.P.C</v>
      </c>
      <c r="D141" s="38">
        <v>784200165539261</v>
      </c>
      <c r="E141" s="55" t="s">
        <v>794</v>
      </c>
      <c r="F141" s="30">
        <v>128636817</v>
      </c>
      <c r="G141" s="29">
        <v>46584</v>
      </c>
      <c r="H141" s="36">
        <v>46638</v>
      </c>
      <c r="I141" s="26"/>
      <c r="J141" s="26"/>
      <c r="K141" s="26"/>
      <c r="L141" s="50"/>
    </row>
    <row r="142" spans="1:12" ht="60" hidden="1" x14ac:dyDescent="0.25">
      <c r="A142" s="43">
        <v>141</v>
      </c>
      <c r="B142" s="35" t="s">
        <v>369</v>
      </c>
      <c r="C142" s="52" t="str">
        <f>INDEX(Com_Scr!C:C,MATCH(Employee_Master!B:B,Com_Scr!B:B))</f>
        <v>WADI RENTAL EQUIPMENT CONSTRUCTION - L.L.C - S.P.C</v>
      </c>
      <c r="D142" s="38">
        <v>784199043628801</v>
      </c>
      <c r="E142" s="55" t="s">
        <v>795</v>
      </c>
      <c r="F142" s="30">
        <v>126441408</v>
      </c>
      <c r="G142" s="29">
        <v>46526</v>
      </c>
      <c r="H142" s="36">
        <v>46532</v>
      </c>
      <c r="I142" s="26"/>
      <c r="J142" s="26"/>
      <c r="K142" s="26"/>
      <c r="L142" s="50"/>
    </row>
    <row r="143" spans="1:12" ht="60" hidden="1" x14ac:dyDescent="0.25">
      <c r="A143" s="43">
        <v>142</v>
      </c>
      <c r="B143" s="35" t="s">
        <v>369</v>
      </c>
      <c r="C143" s="52" t="str">
        <f>INDEX(Com_Scr!C:C,MATCH(Employee_Master!B:B,Com_Scr!B:B))</f>
        <v>WADI RENTAL EQUIPMENT CONSTRUCTION - L.L.C - S.P.C</v>
      </c>
      <c r="D143" s="38">
        <v>784200086711817</v>
      </c>
      <c r="E143" s="55" t="s">
        <v>796</v>
      </c>
      <c r="F143" s="30">
        <v>128636056</v>
      </c>
      <c r="G143" s="29">
        <v>46584</v>
      </c>
      <c r="H143" s="36">
        <v>46658</v>
      </c>
      <c r="I143" s="26"/>
      <c r="J143" s="26"/>
      <c r="K143" s="26"/>
      <c r="L143" s="50"/>
    </row>
    <row r="144" spans="1:12" ht="60" hidden="1" x14ac:dyDescent="0.25">
      <c r="A144" s="43">
        <v>143</v>
      </c>
      <c r="B144" s="35" t="s">
        <v>369</v>
      </c>
      <c r="C144" s="52" t="str">
        <f>INDEX(Com_Scr!C:C,MATCH(Employee_Master!B:B,Com_Scr!B:B))</f>
        <v>WADI RENTAL EQUIPMENT CONSTRUCTION - L.L.C - S.P.C</v>
      </c>
      <c r="D144" s="38">
        <v>784199065850309</v>
      </c>
      <c r="E144" s="55" t="s">
        <v>797</v>
      </c>
      <c r="F144" s="30">
        <v>112890893</v>
      </c>
      <c r="G144" s="29">
        <v>46017</v>
      </c>
      <c r="H144" s="36">
        <v>46064</v>
      </c>
      <c r="I144" s="26"/>
      <c r="J144" s="26"/>
      <c r="K144" s="26"/>
      <c r="L144" s="50"/>
    </row>
    <row r="145" spans="1:12" ht="60" hidden="1" x14ac:dyDescent="0.25">
      <c r="A145" s="43">
        <v>144</v>
      </c>
      <c r="B145" s="35" t="s">
        <v>369</v>
      </c>
      <c r="C145" s="52" t="str">
        <f>INDEX(Com_Scr!C:C,MATCH(Employee_Master!B:B,Com_Scr!B:B))</f>
        <v>WADI RENTAL EQUIPMENT CONSTRUCTION - L.L.C - S.P.C</v>
      </c>
      <c r="D145" s="38">
        <v>784199285532000</v>
      </c>
      <c r="E145" s="55" t="s">
        <v>798</v>
      </c>
      <c r="F145" s="30">
        <v>130078488</v>
      </c>
      <c r="G145" s="29">
        <v>46026</v>
      </c>
      <c r="H145" s="36">
        <v>46183</v>
      </c>
      <c r="I145" s="26"/>
      <c r="J145" s="26"/>
      <c r="K145" s="26"/>
      <c r="L145" s="50"/>
    </row>
    <row r="146" spans="1:12" ht="60" hidden="1" x14ac:dyDescent="0.25">
      <c r="A146" s="43">
        <v>145</v>
      </c>
      <c r="B146" s="35" t="s">
        <v>369</v>
      </c>
      <c r="C146" s="52" t="str">
        <f>INDEX(Com_Scr!C:C,MATCH(Employee_Master!B:B,Com_Scr!B:B))</f>
        <v>WADI RENTAL EQUIPMENT CONSTRUCTION - L.L.C - S.P.C</v>
      </c>
      <c r="D146" s="38">
        <v>784199972415162</v>
      </c>
      <c r="E146" s="55" t="s">
        <v>799</v>
      </c>
      <c r="F146" s="30">
        <v>114217688</v>
      </c>
      <c r="G146" s="29">
        <v>46061</v>
      </c>
      <c r="H146" s="36">
        <v>46443</v>
      </c>
      <c r="I146" s="26"/>
      <c r="J146" s="26"/>
      <c r="K146" s="26"/>
      <c r="L146" s="50"/>
    </row>
    <row r="147" spans="1:12" ht="60" hidden="1" x14ac:dyDescent="0.25">
      <c r="A147" s="43">
        <v>146</v>
      </c>
      <c r="B147" s="35" t="s">
        <v>369</v>
      </c>
      <c r="C147" s="52" t="str">
        <f>INDEX(Com_Scr!C:C,MATCH(Employee_Master!B:B,Com_Scr!B:B))</f>
        <v>WADI RENTAL EQUIPMENT CONSTRUCTION - L.L.C - S.P.C</v>
      </c>
      <c r="D147" s="38">
        <v>784199235410984</v>
      </c>
      <c r="E147" s="55" t="s">
        <v>800</v>
      </c>
      <c r="F147" s="30">
        <v>136254498</v>
      </c>
      <c r="G147" s="29">
        <v>46756</v>
      </c>
      <c r="H147" s="36">
        <v>46794</v>
      </c>
      <c r="I147" s="26"/>
      <c r="J147" s="26"/>
      <c r="K147" s="26"/>
      <c r="L147" s="50"/>
    </row>
    <row r="148" spans="1:12" ht="30" hidden="1" x14ac:dyDescent="0.25">
      <c r="A148" s="43">
        <v>147</v>
      </c>
      <c r="B148" s="35" t="s">
        <v>379</v>
      </c>
      <c r="C148" s="52" t="str">
        <f>INDEX(Com_Scr!C:C,MATCH(Employee_Master!B:B,Com_Scr!B:B))</f>
        <v>ILAMA FOODSTUFF TRADING - L.L.C - S.P.C</v>
      </c>
      <c r="D148" s="38">
        <v>784199398628273</v>
      </c>
      <c r="E148" s="55" t="s">
        <v>611</v>
      </c>
      <c r="F148" s="30">
        <v>123712509</v>
      </c>
      <c r="G148" s="27">
        <v>46397</v>
      </c>
      <c r="H148" s="36">
        <v>46403</v>
      </c>
      <c r="I148" s="26"/>
      <c r="J148" s="26"/>
      <c r="K148" s="26"/>
      <c r="L148" s="50"/>
    </row>
    <row r="149" spans="1:12" ht="45" hidden="1" x14ac:dyDescent="0.25">
      <c r="A149" s="43">
        <v>148</v>
      </c>
      <c r="B149" s="35" t="s">
        <v>379</v>
      </c>
      <c r="C149" s="52" t="str">
        <f>INDEX(Com_Scr!C:C,MATCH(Employee_Master!B:B,Com_Scr!B:B))</f>
        <v>ILAMA FOODSTUFF TRADING - L.L.C - S.P.C</v>
      </c>
      <c r="D149" s="38">
        <v>784198592748481</v>
      </c>
      <c r="E149" s="55" t="s">
        <v>612</v>
      </c>
      <c r="F149" s="30">
        <v>123716740</v>
      </c>
      <c r="G149" s="27">
        <v>46435</v>
      </c>
      <c r="H149" s="36">
        <v>46450</v>
      </c>
      <c r="I149" s="26"/>
      <c r="J149" s="26"/>
      <c r="K149" s="26"/>
      <c r="L149" s="50"/>
    </row>
    <row r="150" spans="1:12" ht="30" hidden="1" x14ac:dyDescent="0.25">
      <c r="A150" s="43">
        <v>149</v>
      </c>
      <c r="B150" s="35" t="s">
        <v>379</v>
      </c>
      <c r="C150" s="52" t="str">
        <f>INDEX(Com_Scr!C:C,MATCH(Employee_Master!B:B,Com_Scr!B:B))</f>
        <v>ILAMA FOODSTUFF TRADING - L.L.C - S.P.C</v>
      </c>
      <c r="D150" s="38">
        <v>784200241463775</v>
      </c>
      <c r="E150" s="55" t="s">
        <v>613</v>
      </c>
      <c r="F150" s="30">
        <v>133056230</v>
      </c>
      <c r="G150" s="27">
        <v>46710</v>
      </c>
      <c r="H150" s="36">
        <v>46716</v>
      </c>
      <c r="I150" s="26"/>
      <c r="J150" s="26"/>
      <c r="K150" s="26"/>
      <c r="L150" s="50"/>
    </row>
    <row r="151" spans="1:12" ht="30" hidden="1" x14ac:dyDescent="0.25">
      <c r="A151" s="43">
        <v>150</v>
      </c>
      <c r="B151" s="35" t="s">
        <v>379</v>
      </c>
      <c r="C151" s="52" t="str">
        <f>INDEX(Com_Scr!C:C,MATCH(Employee_Master!B:B,Com_Scr!B:B))</f>
        <v>ILAMA FOODSTUFF TRADING - L.L.C - S.P.C</v>
      </c>
      <c r="D151" s="38">
        <v>784200061003560</v>
      </c>
      <c r="E151" s="55" t="s">
        <v>614</v>
      </c>
      <c r="F151" s="30">
        <v>127481308</v>
      </c>
      <c r="G151" s="27">
        <v>46555</v>
      </c>
      <c r="H151" s="36">
        <v>46558</v>
      </c>
      <c r="I151" s="26"/>
      <c r="J151" s="26"/>
      <c r="K151" s="26"/>
      <c r="L151" s="50"/>
    </row>
    <row r="152" spans="1:12" ht="30" hidden="1" x14ac:dyDescent="0.25">
      <c r="A152" s="43">
        <v>151</v>
      </c>
      <c r="B152" s="35" t="s">
        <v>379</v>
      </c>
      <c r="C152" s="52" t="str">
        <f>INDEX(Com_Scr!C:C,MATCH(Employee_Master!B:B,Com_Scr!B:B))</f>
        <v>ILAMA FOODSTUFF TRADING - L.L.C - S.P.C</v>
      </c>
      <c r="D152" s="38">
        <v>784199243154301</v>
      </c>
      <c r="E152" s="55" t="s">
        <v>615</v>
      </c>
      <c r="F152" s="30">
        <v>124261350</v>
      </c>
      <c r="G152" s="27">
        <v>46462</v>
      </c>
      <c r="H152" s="36">
        <v>46466</v>
      </c>
      <c r="I152" s="26"/>
      <c r="J152" s="26"/>
      <c r="K152" s="26"/>
      <c r="L152" s="50"/>
    </row>
    <row r="153" spans="1:12" ht="30" hidden="1" x14ac:dyDescent="0.25">
      <c r="A153" s="43">
        <v>152</v>
      </c>
      <c r="B153" s="35" t="s">
        <v>379</v>
      </c>
      <c r="C153" s="52" t="str">
        <f>INDEX(Com_Scr!C:C,MATCH(Employee_Master!B:B,Com_Scr!B:B))</f>
        <v>ILAMA FOODSTUFF TRADING - L.L.C - S.P.C</v>
      </c>
      <c r="D153" s="38">
        <v>784200193522891</v>
      </c>
      <c r="E153" s="55" t="s">
        <v>616</v>
      </c>
      <c r="F153" s="30">
        <v>126882130</v>
      </c>
      <c r="G153" s="27">
        <v>46537</v>
      </c>
      <c r="H153" s="36">
        <v>46549</v>
      </c>
      <c r="I153" s="26"/>
      <c r="J153" s="26"/>
      <c r="K153" s="26"/>
      <c r="L153" s="50"/>
    </row>
    <row r="154" spans="1:12" ht="45" hidden="1" x14ac:dyDescent="0.25">
      <c r="A154" s="43">
        <v>153</v>
      </c>
      <c r="B154" s="35" t="s">
        <v>386</v>
      </c>
      <c r="C154" s="52" t="str">
        <f>INDEX(Com_Scr!C:C,MATCH(Employee_Master!B:B,Com_Scr!B:B))</f>
        <v>SKILLSAFE TRAINING AND INSPECTION SERVICES -L.L.C - O.PC</v>
      </c>
      <c r="D154" s="38" t="s">
        <v>335</v>
      </c>
      <c r="E154" s="55" t="s">
        <v>802</v>
      </c>
      <c r="F154" s="30">
        <v>134724314</v>
      </c>
      <c r="G154" s="29">
        <v>46315</v>
      </c>
      <c r="H154" s="36" t="s">
        <v>771</v>
      </c>
      <c r="I154" s="26"/>
      <c r="J154" s="26"/>
      <c r="K154" s="26"/>
      <c r="L154" s="50"/>
    </row>
    <row r="155" spans="1:12" ht="45" hidden="1" x14ac:dyDescent="0.25">
      <c r="A155" s="43">
        <v>154</v>
      </c>
      <c r="B155" s="35" t="s">
        <v>386</v>
      </c>
      <c r="C155" s="52" t="str">
        <f>INDEX(Com_Scr!C:C,MATCH(Employee_Master!B:B,Com_Scr!B:B))</f>
        <v>SKILLSAFE TRAINING AND INSPECTION SERVICES -L.L.C - O.PC</v>
      </c>
      <c r="D155" s="38" t="s">
        <v>335</v>
      </c>
      <c r="E155" s="55" t="s">
        <v>803</v>
      </c>
      <c r="F155" s="30">
        <v>119321662</v>
      </c>
      <c r="G155" s="29">
        <v>46322</v>
      </c>
      <c r="H155" s="36" t="s">
        <v>771</v>
      </c>
      <c r="I155" s="26"/>
      <c r="J155" s="26"/>
      <c r="K155" s="26"/>
      <c r="L155" s="50"/>
    </row>
    <row r="156" spans="1:12" ht="45" hidden="1" x14ac:dyDescent="0.25">
      <c r="A156" s="43">
        <v>155</v>
      </c>
      <c r="B156" s="35" t="s">
        <v>386</v>
      </c>
      <c r="C156" s="52" t="str">
        <f>INDEX(Com_Scr!C:C,MATCH(Employee_Master!B:B,Com_Scr!B:B))</f>
        <v>SKILLSAFE TRAINING AND INSPECTION SERVICES -L.L.C - O.PC</v>
      </c>
      <c r="D156" s="38" t="s">
        <v>335</v>
      </c>
      <c r="E156" s="55" t="s">
        <v>816</v>
      </c>
      <c r="F156" s="30">
        <v>119426255</v>
      </c>
      <c r="G156" s="29">
        <v>46324</v>
      </c>
      <c r="H156" s="36" t="s">
        <v>771</v>
      </c>
      <c r="I156" s="26"/>
      <c r="J156" s="26"/>
      <c r="K156" s="26"/>
      <c r="L156" s="50"/>
    </row>
    <row r="157" spans="1:12" ht="45" hidden="1" x14ac:dyDescent="0.25">
      <c r="A157" s="43">
        <v>156</v>
      </c>
      <c r="B157" s="35" t="s">
        <v>386</v>
      </c>
      <c r="C157" s="52" t="str">
        <f>INDEX(Com_Scr!C:C,MATCH(Employee_Master!B:B,Com_Scr!B:B))</f>
        <v>SKILLSAFE TRAINING AND INSPECTION SERVICES -L.L.C - O.PC</v>
      </c>
      <c r="D157" s="38">
        <v>784199690398476</v>
      </c>
      <c r="E157" s="55" t="s">
        <v>804</v>
      </c>
      <c r="F157" s="30">
        <v>115587636</v>
      </c>
      <c r="G157" s="29">
        <v>46214</v>
      </c>
      <c r="H157" s="36">
        <v>46222</v>
      </c>
      <c r="I157" s="26"/>
      <c r="J157" s="26"/>
      <c r="K157" s="26"/>
      <c r="L157" s="50"/>
    </row>
    <row r="158" spans="1:12" ht="45" hidden="1" x14ac:dyDescent="0.25">
      <c r="A158" s="43">
        <v>157</v>
      </c>
      <c r="B158" s="35" t="s">
        <v>386</v>
      </c>
      <c r="C158" s="52" t="str">
        <f>INDEX(Com_Scr!C:C,MATCH(Employee_Master!B:B,Com_Scr!B:B))</f>
        <v>SKILLSAFE TRAINING AND INSPECTION SERVICES -L.L.C - O.PC</v>
      </c>
      <c r="D158" s="38">
        <v>784199462748809</v>
      </c>
      <c r="E158" s="55" t="s">
        <v>805</v>
      </c>
      <c r="F158" s="30">
        <v>134408681</v>
      </c>
      <c r="G158" s="29">
        <v>46749</v>
      </c>
      <c r="H158" s="36">
        <v>46763</v>
      </c>
      <c r="I158" s="26"/>
      <c r="J158" s="26"/>
      <c r="K158" s="26"/>
      <c r="L158" s="50"/>
    </row>
    <row r="159" spans="1:12" ht="45" hidden="1" x14ac:dyDescent="0.25">
      <c r="A159" s="43">
        <v>158</v>
      </c>
      <c r="B159" s="35" t="s">
        <v>386</v>
      </c>
      <c r="C159" s="52" t="str">
        <f>INDEX(Com_Scr!C:C,MATCH(Employee_Master!B:B,Com_Scr!B:B))</f>
        <v>SKILLSAFE TRAINING AND INSPECTION SERVICES -L.L.C - O.PC</v>
      </c>
      <c r="D159" s="38">
        <v>784200669901508</v>
      </c>
      <c r="E159" s="55" t="s">
        <v>806</v>
      </c>
      <c r="F159" s="30">
        <v>131565016</v>
      </c>
      <c r="G159" s="29">
        <v>46666</v>
      </c>
      <c r="H159" s="36">
        <v>46675</v>
      </c>
      <c r="I159" s="26"/>
      <c r="J159" s="26"/>
      <c r="K159" s="26"/>
      <c r="L159" s="50"/>
    </row>
    <row r="160" spans="1:12" ht="45" hidden="1" x14ac:dyDescent="0.25">
      <c r="A160" s="43">
        <v>159</v>
      </c>
      <c r="B160" s="35" t="s">
        <v>386</v>
      </c>
      <c r="C160" s="52" t="str">
        <f>INDEX(Com_Scr!C:C,MATCH(Employee_Master!B:B,Com_Scr!B:B))</f>
        <v>SKILLSAFE TRAINING AND INSPECTION SERVICES -L.L.C - O.PC</v>
      </c>
      <c r="D160" s="38">
        <v>784199869123705</v>
      </c>
      <c r="E160" s="55" t="s">
        <v>807</v>
      </c>
      <c r="F160" s="30">
        <v>118396054</v>
      </c>
      <c r="G160" s="29">
        <v>46295</v>
      </c>
      <c r="H160" s="36">
        <v>46303</v>
      </c>
      <c r="I160" s="26"/>
      <c r="J160" s="26"/>
      <c r="K160" s="26"/>
      <c r="L160" s="50"/>
    </row>
    <row r="161" spans="1:12" ht="45" hidden="1" x14ac:dyDescent="0.25">
      <c r="A161" s="43">
        <v>160</v>
      </c>
      <c r="B161" s="35" t="s">
        <v>386</v>
      </c>
      <c r="C161" s="52" t="str">
        <f>INDEX(Com_Scr!C:C,MATCH(Employee_Master!B:B,Com_Scr!B:B))</f>
        <v>SKILLSAFE TRAINING AND INSPECTION SERVICES -L.L.C - O.PC</v>
      </c>
      <c r="D161" s="38">
        <v>784199684062997</v>
      </c>
      <c r="E161" s="55" t="s">
        <v>808</v>
      </c>
      <c r="F161" s="30">
        <v>120225069</v>
      </c>
      <c r="G161" s="29">
        <v>46350</v>
      </c>
      <c r="H161" s="36">
        <v>46697</v>
      </c>
      <c r="I161" s="26"/>
      <c r="J161" s="26"/>
      <c r="K161" s="26"/>
      <c r="L161" s="50"/>
    </row>
    <row r="162" spans="1:12" ht="45" hidden="1" x14ac:dyDescent="0.25">
      <c r="A162" s="43">
        <v>161</v>
      </c>
      <c r="B162" s="35" t="s">
        <v>386</v>
      </c>
      <c r="C162" s="52" t="str">
        <f>INDEX(Com_Scr!C:C,MATCH(Employee_Master!B:B,Com_Scr!B:B))</f>
        <v>SKILLSAFE TRAINING AND INSPECTION SERVICES -L.L.C - O.PC</v>
      </c>
      <c r="D162" s="38">
        <v>784199714635580</v>
      </c>
      <c r="E162" s="55" t="s">
        <v>809</v>
      </c>
      <c r="F162" s="30">
        <v>132364662</v>
      </c>
      <c r="G162" s="29">
        <v>46690</v>
      </c>
      <c r="H162" s="36">
        <v>46570</v>
      </c>
      <c r="I162" s="26"/>
      <c r="J162" s="26"/>
      <c r="K162" s="26"/>
      <c r="L162" s="50"/>
    </row>
    <row r="163" spans="1:12" ht="45" hidden="1" x14ac:dyDescent="0.25">
      <c r="A163" s="43">
        <v>162</v>
      </c>
      <c r="B163" s="35" t="s">
        <v>386</v>
      </c>
      <c r="C163" s="52" t="str">
        <f>INDEX(Com_Scr!C:C,MATCH(Employee_Master!B:B,Com_Scr!B:B))</f>
        <v>SKILLSAFE TRAINING AND INSPECTION SERVICES -L.L.C - O.PC</v>
      </c>
      <c r="D163" s="38">
        <v>784198446806261</v>
      </c>
      <c r="E163" s="55" t="s">
        <v>810</v>
      </c>
      <c r="F163" s="30">
        <v>127523791</v>
      </c>
      <c r="G163" s="29">
        <v>46561</v>
      </c>
      <c r="H163" s="36">
        <v>46411</v>
      </c>
      <c r="I163" s="26"/>
      <c r="J163" s="26"/>
      <c r="K163" s="26"/>
      <c r="L163" s="50"/>
    </row>
    <row r="164" spans="1:12" ht="45" hidden="1" x14ac:dyDescent="0.25">
      <c r="A164" s="43">
        <v>163</v>
      </c>
      <c r="B164" s="35" t="s">
        <v>386</v>
      </c>
      <c r="C164" s="52" t="str">
        <f>INDEX(Com_Scr!C:C,MATCH(Employee_Master!B:B,Com_Scr!B:B))</f>
        <v>SKILLSAFE TRAINING AND INSPECTION SERVICES -L.L.C - O.PC</v>
      </c>
      <c r="D164" s="38">
        <v>784199724743937</v>
      </c>
      <c r="E164" s="55" t="s">
        <v>811</v>
      </c>
      <c r="F164" s="30">
        <v>135594366</v>
      </c>
      <c r="G164" s="29">
        <v>46408</v>
      </c>
      <c r="H164" s="36"/>
      <c r="I164" s="26"/>
      <c r="J164" s="26"/>
      <c r="K164" s="26"/>
      <c r="L164" s="50"/>
    </row>
    <row r="165" spans="1:12" ht="45" hidden="1" x14ac:dyDescent="0.25">
      <c r="A165" s="43">
        <v>164</v>
      </c>
      <c r="B165" s="35" t="s">
        <v>386</v>
      </c>
      <c r="C165" s="52" t="str">
        <f>INDEX(Com_Scr!C:C,MATCH(Employee_Master!B:B,Com_Scr!B:B))</f>
        <v>SKILLSAFE TRAINING AND INSPECTION SERVICES -L.L.C - O.PC</v>
      </c>
      <c r="D165" s="38" t="s">
        <v>335</v>
      </c>
      <c r="E165" s="55" t="s">
        <v>812</v>
      </c>
      <c r="F165" s="30">
        <v>133196898</v>
      </c>
      <c r="G165" s="29">
        <v>46714</v>
      </c>
      <c r="H165" s="36" t="s">
        <v>717</v>
      </c>
      <c r="I165" s="26"/>
      <c r="J165" s="26"/>
      <c r="K165" s="26"/>
      <c r="L165" s="50"/>
    </row>
    <row r="166" spans="1:12" ht="45" hidden="1" x14ac:dyDescent="0.25">
      <c r="A166" s="43">
        <v>165</v>
      </c>
      <c r="B166" s="35" t="s">
        <v>386</v>
      </c>
      <c r="C166" s="52" t="str">
        <f>INDEX(Com_Scr!C:C,MATCH(Employee_Master!B:B,Com_Scr!B:B))</f>
        <v>SKILLSAFE TRAINING AND INSPECTION SERVICES -L.L.C - O.PC</v>
      </c>
      <c r="D166" s="38" t="s">
        <v>335</v>
      </c>
      <c r="E166" s="55" t="s">
        <v>813</v>
      </c>
      <c r="F166" s="30">
        <v>119631436</v>
      </c>
      <c r="G166" s="29">
        <v>46330</v>
      </c>
      <c r="H166" s="36" t="s">
        <v>717</v>
      </c>
      <c r="I166" s="26"/>
      <c r="J166" s="26"/>
      <c r="K166" s="26"/>
      <c r="L166" s="50"/>
    </row>
    <row r="167" spans="1:12" ht="45" hidden="1" x14ac:dyDescent="0.25">
      <c r="A167" s="43">
        <v>166</v>
      </c>
      <c r="B167" s="35" t="s">
        <v>386</v>
      </c>
      <c r="C167" s="52" t="str">
        <f>INDEX(Com_Scr!C:C,MATCH(Employee_Master!B:B,Com_Scr!B:B))</f>
        <v>SKILLSAFE TRAINING AND INSPECTION SERVICES -L.L.C - O.PC</v>
      </c>
      <c r="D167" s="38" t="s">
        <v>335</v>
      </c>
      <c r="E167" s="55" t="s">
        <v>814</v>
      </c>
      <c r="F167" s="30">
        <v>117128499</v>
      </c>
      <c r="G167" s="29">
        <v>46252</v>
      </c>
      <c r="H167" s="36" t="s">
        <v>717</v>
      </c>
      <c r="I167" s="26"/>
      <c r="J167" s="26"/>
      <c r="K167" s="26"/>
      <c r="L167" s="50"/>
    </row>
    <row r="168" spans="1:12" ht="45" hidden="1" x14ac:dyDescent="0.25">
      <c r="A168" s="43">
        <v>167</v>
      </c>
      <c r="B168" s="35" t="s">
        <v>386</v>
      </c>
      <c r="C168" s="52" t="str">
        <f>INDEX(Com_Scr!C:C,MATCH(Employee_Master!B:B,Com_Scr!B:B))</f>
        <v>SKILLSAFE TRAINING AND INSPECTION SERVICES -L.L.C - O.PC</v>
      </c>
      <c r="D168" s="38" t="s">
        <v>335</v>
      </c>
      <c r="E168" s="55" t="s">
        <v>815</v>
      </c>
      <c r="F168" s="30">
        <v>111099272</v>
      </c>
      <c r="G168" s="29">
        <v>46366</v>
      </c>
      <c r="H168" s="36" t="s">
        <v>717</v>
      </c>
      <c r="I168" s="26"/>
      <c r="J168" s="26"/>
      <c r="K168" s="26"/>
      <c r="L168" s="50"/>
    </row>
    <row r="169" spans="1:12" ht="45" hidden="1" x14ac:dyDescent="0.25">
      <c r="A169" s="43">
        <v>168</v>
      </c>
      <c r="B169" s="35" t="s">
        <v>396</v>
      </c>
      <c r="C169" s="52" t="str">
        <f>INDEX(Com_Scr!C:C,MATCH(Employee_Master!B:B,Com_Scr!B:B))</f>
        <v>RIFA FRUITS AND VEGETABLES L.L.C- S.P.C</v>
      </c>
      <c r="D169" s="38">
        <v>784197249047495</v>
      </c>
      <c r="E169" s="55" t="s">
        <v>755</v>
      </c>
      <c r="F169" s="30">
        <v>117170333</v>
      </c>
      <c r="G169" s="27">
        <v>46253</v>
      </c>
      <c r="H169" s="36">
        <v>46256</v>
      </c>
      <c r="I169" s="26"/>
      <c r="J169" s="26"/>
      <c r="K169" s="26"/>
      <c r="L169" s="50"/>
    </row>
    <row r="170" spans="1:12" ht="45" hidden="1" x14ac:dyDescent="0.25">
      <c r="A170" s="43">
        <v>169</v>
      </c>
      <c r="B170" s="35" t="s">
        <v>396</v>
      </c>
      <c r="C170" s="52" t="str">
        <f>INDEX(Com_Scr!C:C,MATCH(Employee_Master!B:B,Com_Scr!B:B))</f>
        <v>RIFA FRUITS AND VEGETABLES L.L.C- S.P.C</v>
      </c>
      <c r="D170" s="38">
        <v>784199780782589</v>
      </c>
      <c r="E170" s="55" t="s">
        <v>756</v>
      </c>
      <c r="F170" s="30">
        <v>123024412</v>
      </c>
      <c r="G170" s="27">
        <v>46431</v>
      </c>
      <c r="H170" s="36">
        <v>46438</v>
      </c>
      <c r="I170" s="26"/>
      <c r="J170" s="26"/>
      <c r="K170" s="26"/>
      <c r="L170" s="50"/>
    </row>
    <row r="171" spans="1:12" ht="45" hidden="1" x14ac:dyDescent="0.25">
      <c r="A171" s="43">
        <v>170</v>
      </c>
      <c r="B171" s="35" t="s">
        <v>396</v>
      </c>
      <c r="C171" s="52" t="str">
        <f>INDEX(Com_Scr!C:C,MATCH(Employee_Master!B:B,Com_Scr!B:B))</f>
        <v>RIFA FRUITS AND VEGETABLES L.L.C- S.P.C</v>
      </c>
      <c r="D171" s="38">
        <v>784198884793021</v>
      </c>
      <c r="E171" s="55" t="s">
        <v>757</v>
      </c>
      <c r="F171" s="30">
        <v>115395737</v>
      </c>
      <c r="G171" s="27">
        <v>46166</v>
      </c>
      <c r="H171" s="36">
        <v>46171</v>
      </c>
      <c r="I171" s="26"/>
      <c r="J171" s="26"/>
      <c r="K171" s="26"/>
      <c r="L171" s="50"/>
    </row>
    <row r="172" spans="1:12" ht="45" hidden="1" x14ac:dyDescent="0.25">
      <c r="A172" s="43">
        <v>171</v>
      </c>
      <c r="B172" s="35" t="s">
        <v>396</v>
      </c>
      <c r="C172" s="52" t="str">
        <f>INDEX(Com_Scr!C:C,MATCH(Employee_Master!B:B,Com_Scr!B:B))</f>
        <v>RIFA FRUITS AND VEGETABLES L.L.C- S.P.C</v>
      </c>
      <c r="D172" s="38">
        <v>784198013109354</v>
      </c>
      <c r="E172" s="55" t="s">
        <v>758</v>
      </c>
      <c r="F172" s="30">
        <v>125198569</v>
      </c>
      <c r="G172" s="27">
        <v>46480</v>
      </c>
      <c r="H172" s="36">
        <v>46494</v>
      </c>
      <c r="I172" s="26"/>
      <c r="J172" s="26"/>
      <c r="K172" s="26"/>
      <c r="L172" s="50"/>
    </row>
    <row r="173" spans="1:12" ht="30" hidden="1" x14ac:dyDescent="0.25">
      <c r="A173" s="43">
        <v>172</v>
      </c>
      <c r="B173" s="57" t="s">
        <v>399</v>
      </c>
      <c r="C173" s="52" t="str">
        <f>INDEX(Com_Scr!C:C,MATCH(Employee_Master!B:B,Com_Scr!B:B))</f>
        <v>POPULAR LOGISTICS SERVICES - L.L.C - O.P.C</v>
      </c>
      <c r="D173" s="38">
        <v>784199349036055</v>
      </c>
      <c r="E173" s="55" t="s">
        <v>599</v>
      </c>
      <c r="F173" s="30">
        <v>116337591</v>
      </c>
      <c r="G173" s="27">
        <v>46225</v>
      </c>
      <c r="H173" s="36">
        <v>46281</v>
      </c>
      <c r="I173" s="26"/>
      <c r="J173" s="26"/>
      <c r="K173" s="26"/>
      <c r="L173" s="50"/>
    </row>
    <row r="174" spans="1:12" ht="30" hidden="1" x14ac:dyDescent="0.25">
      <c r="A174" s="43">
        <v>173</v>
      </c>
      <c r="B174" s="35" t="s">
        <v>399</v>
      </c>
      <c r="C174" s="52" t="str">
        <f>INDEX(Com_Scr!C:C,MATCH(Employee_Master!B:B,Com_Scr!B:B))</f>
        <v>POPULAR LOGISTICS SERVICES - L.L.C - O.P.C</v>
      </c>
      <c r="D174" s="38">
        <v>784200191996253</v>
      </c>
      <c r="E174" s="55" t="s">
        <v>600</v>
      </c>
      <c r="F174" s="30">
        <v>135155805</v>
      </c>
      <c r="G174" s="27">
        <v>46768</v>
      </c>
      <c r="H174" s="36">
        <v>46780</v>
      </c>
      <c r="I174" s="26"/>
      <c r="J174" s="26"/>
      <c r="K174" s="26"/>
      <c r="L174" s="50"/>
    </row>
    <row r="175" spans="1:12" ht="30" hidden="1" x14ac:dyDescent="0.25">
      <c r="A175" s="43">
        <v>174</v>
      </c>
      <c r="B175" s="35" t="s">
        <v>399</v>
      </c>
      <c r="C175" s="52" t="str">
        <f>INDEX(Com_Scr!C:C,MATCH(Employee_Master!B:B,Com_Scr!B:B))</f>
        <v>POPULAR LOGISTICS SERVICES - L.L.C - O.P.C</v>
      </c>
      <c r="D175" s="38">
        <v>784200513815298</v>
      </c>
      <c r="E175" s="55" t="s">
        <v>601</v>
      </c>
      <c r="F175" s="30">
        <v>119081387</v>
      </c>
      <c r="G175" s="27">
        <v>46329</v>
      </c>
      <c r="H175" s="36">
        <v>46336</v>
      </c>
      <c r="I175" s="26"/>
      <c r="J175" s="26"/>
      <c r="K175" s="26"/>
      <c r="L175" s="50"/>
    </row>
    <row r="176" spans="1:12" ht="45" hidden="1" x14ac:dyDescent="0.25">
      <c r="A176" s="43">
        <v>175</v>
      </c>
      <c r="B176" s="35" t="s">
        <v>399</v>
      </c>
      <c r="C176" s="52" t="str">
        <f>INDEX(Com_Scr!C:C,MATCH(Employee_Master!B:B,Com_Scr!B:B))</f>
        <v>POPULAR LOGISTICS SERVICES - L.L.C - O.P.C</v>
      </c>
      <c r="D176" s="38">
        <v>784197422440715</v>
      </c>
      <c r="E176" s="55" t="s">
        <v>602</v>
      </c>
      <c r="F176" s="30">
        <v>113662191</v>
      </c>
      <c r="G176" s="27">
        <v>46161</v>
      </c>
      <c r="H176" s="36">
        <v>46205</v>
      </c>
      <c r="I176" s="26"/>
      <c r="J176" s="26"/>
      <c r="K176" s="26"/>
      <c r="L176" s="50"/>
    </row>
    <row r="177" spans="1:12" ht="30" hidden="1" x14ac:dyDescent="0.25">
      <c r="A177" s="43">
        <v>176</v>
      </c>
      <c r="B177" s="35" t="s">
        <v>399</v>
      </c>
      <c r="C177" s="52" t="str">
        <f>INDEX(Com_Scr!C:C,MATCH(Employee_Master!B:B,Com_Scr!B:B))</f>
        <v>POPULAR LOGISTICS SERVICES - L.L.C - O.P.C</v>
      </c>
      <c r="D177" s="38">
        <v>784200777289586</v>
      </c>
      <c r="E177" s="55" t="s">
        <v>603</v>
      </c>
      <c r="F177" s="30">
        <v>135414253</v>
      </c>
      <c r="G177" s="27">
        <v>46774</v>
      </c>
      <c r="H177" s="36">
        <v>46785</v>
      </c>
      <c r="I177" s="26"/>
      <c r="J177" s="26"/>
      <c r="K177" s="26"/>
      <c r="L177" s="50"/>
    </row>
    <row r="178" spans="1:12" ht="30" hidden="1" x14ac:dyDescent="0.25">
      <c r="A178" s="43">
        <v>177</v>
      </c>
      <c r="B178" s="35" t="s">
        <v>399</v>
      </c>
      <c r="C178" s="52" t="str">
        <f>INDEX(Com_Scr!C:C,MATCH(Employee_Master!B:B,Com_Scr!B:B))</f>
        <v>POPULAR LOGISTICS SERVICES - L.L.C - O.P.C</v>
      </c>
      <c r="D178" s="38">
        <v>784198440791485</v>
      </c>
      <c r="E178" s="55" t="s">
        <v>604</v>
      </c>
      <c r="F178" s="30">
        <v>135416389</v>
      </c>
      <c r="G178" s="27">
        <v>46774</v>
      </c>
      <c r="H178" s="36">
        <v>46785</v>
      </c>
      <c r="I178" s="26"/>
      <c r="J178" s="26"/>
      <c r="K178" s="26"/>
      <c r="L178" s="50"/>
    </row>
    <row r="179" spans="1:12" ht="45" hidden="1" x14ac:dyDescent="0.25">
      <c r="A179" s="43">
        <v>178</v>
      </c>
      <c r="B179" s="35" t="s">
        <v>399</v>
      </c>
      <c r="C179" s="52" t="str">
        <f>INDEX(Com_Scr!C:C,MATCH(Employee_Master!B:B,Com_Scr!B:B))</f>
        <v>POPULAR LOGISTICS SERVICES - L.L.C - O.P.C</v>
      </c>
      <c r="D179" s="38">
        <v>784199658908282</v>
      </c>
      <c r="E179" s="55" t="s">
        <v>605</v>
      </c>
      <c r="F179" s="30">
        <v>121902372</v>
      </c>
      <c r="G179" s="27">
        <v>46402</v>
      </c>
      <c r="H179" s="36">
        <v>46434</v>
      </c>
      <c r="I179" s="26"/>
      <c r="J179" s="26"/>
      <c r="K179" s="26"/>
      <c r="L179" s="50"/>
    </row>
    <row r="180" spans="1:12" ht="45" hidden="1" x14ac:dyDescent="0.25">
      <c r="A180" s="43">
        <v>179</v>
      </c>
      <c r="B180" s="35" t="s">
        <v>399</v>
      </c>
      <c r="C180" s="52" t="str">
        <f>INDEX(Com_Scr!C:C,MATCH(Employee_Master!B:B,Com_Scr!B:B))</f>
        <v>POPULAR LOGISTICS SERVICES - L.L.C - O.P.C</v>
      </c>
      <c r="D180" s="38">
        <v>784199038344919</v>
      </c>
      <c r="E180" s="55" t="s">
        <v>606</v>
      </c>
      <c r="F180" s="30">
        <v>115158661</v>
      </c>
      <c r="G180" s="27">
        <v>46122</v>
      </c>
      <c r="H180" s="36">
        <v>46174</v>
      </c>
      <c r="I180" s="26"/>
      <c r="J180" s="26"/>
      <c r="K180" s="26"/>
      <c r="L180" s="50"/>
    </row>
    <row r="181" spans="1:12" ht="30" hidden="1" x14ac:dyDescent="0.25">
      <c r="A181" s="43">
        <v>180</v>
      </c>
      <c r="B181" s="35" t="s">
        <v>399</v>
      </c>
      <c r="C181" s="52" t="str">
        <f>INDEX(Com_Scr!C:C,MATCH(Employee_Master!B:B,Com_Scr!B:B))</f>
        <v>POPULAR LOGISTICS SERVICES - L.L.C - O.P.C</v>
      </c>
      <c r="D181" s="38">
        <v>784198546270756</v>
      </c>
      <c r="E181" s="55" t="s">
        <v>607</v>
      </c>
      <c r="F181" s="30">
        <v>133726997</v>
      </c>
      <c r="G181" s="27">
        <v>46721</v>
      </c>
      <c r="H181" s="36">
        <v>46735</v>
      </c>
      <c r="I181" s="26"/>
      <c r="J181" s="26"/>
      <c r="K181" s="26"/>
      <c r="L181" s="50"/>
    </row>
    <row r="182" spans="1:12" ht="30" hidden="1" x14ac:dyDescent="0.25">
      <c r="A182" s="43">
        <v>181</v>
      </c>
      <c r="B182" s="35" t="s">
        <v>399</v>
      </c>
      <c r="C182" s="52" t="str">
        <f>INDEX(Com_Scr!C:C,MATCH(Employee_Master!B:B,Com_Scr!B:B))</f>
        <v>POPULAR LOGISTICS SERVICES - L.L.C - O.P.C</v>
      </c>
      <c r="D182" s="38">
        <v>784198619175320</v>
      </c>
      <c r="E182" s="55" t="s">
        <v>608</v>
      </c>
      <c r="F182" s="30">
        <v>135386739</v>
      </c>
      <c r="G182" s="27">
        <v>46752</v>
      </c>
      <c r="H182" s="36">
        <v>46757</v>
      </c>
      <c r="I182" s="26"/>
      <c r="J182" s="26"/>
      <c r="K182" s="26"/>
      <c r="L182" s="50"/>
    </row>
    <row r="183" spans="1:12" ht="60" hidden="1" x14ac:dyDescent="0.25">
      <c r="A183" s="43">
        <v>182</v>
      </c>
      <c r="B183" s="35" t="s">
        <v>399</v>
      </c>
      <c r="C183" s="52" t="str">
        <f>INDEX(Com_Scr!C:C,MATCH(Employee_Master!B:B,Com_Scr!B:B))</f>
        <v>POPULAR LOGISTICS SERVICES - L.L.C - O.P.C</v>
      </c>
      <c r="D183" s="38">
        <v>784198975858428</v>
      </c>
      <c r="E183" s="55" t="s">
        <v>609</v>
      </c>
      <c r="F183" s="30">
        <v>133727003</v>
      </c>
      <c r="G183" s="27">
        <v>46721</v>
      </c>
      <c r="H183" s="36">
        <v>46732</v>
      </c>
      <c r="I183" s="26"/>
      <c r="J183" s="26"/>
      <c r="K183" s="26"/>
      <c r="L183" s="50"/>
    </row>
    <row r="184" spans="1:12" ht="30" hidden="1" x14ac:dyDescent="0.25">
      <c r="A184" s="43">
        <v>183</v>
      </c>
      <c r="B184" s="35" t="s">
        <v>399</v>
      </c>
      <c r="C184" s="52" t="str">
        <f>INDEX(Com_Scr!C:C,MATCH(Employee_Master!B:B,Com_Scr!B:B))</f>
        <v>POPULAR LOGISTICS SERVICES - L.L.C - O.P.C</v>
      </c>
      <c r="D184" s="38">
        <v>784199098651096</v>
      </c>
      <c r="E184" s="55" t="s">
        <v>610</v>
      </c>
      <c r="F184" s="30">
        <v>130069228</v>
      </c>
      <c r="G184" s="27">
        <v>46607</v>
      </c>
      <c r="H184" s="36">
        <v>46612</v>
      </c>
      <c r="I184" s="26"/>
      <c r="J184" s="26"/>
      <c r="K184" s="26"/>
      <c r="L184" s="50"/>
    </row>
    <row r="185" spans="1:12" ht="60" hidden="1" x14ac:dyDescent="0.25">
      <c r="A185" s="43">
        <v>184</v>
      </c>
      <c r="B185" s="57" t="s">
        <v>400</v>
      </c>
      <c r="C185" s="52" t="str">
        <f>INDEX(Com_Scr!C:C,MATCH(Employee_Master!B:B,Com_Scr!B:B))</f>
        <v>ROYAL DELUXE GENERAL TRANSPORTING - L.L.C - S.P.C</v>
      </c>
      <c r="D185" s="38">
        <v>784200290615226</v>
      </c>
      <c r="E185" s="55" t="s">
        <v>732</v>
      </c>
      <c r="F185" s="30">
        <v>115062691</v>
      </c>
      <c r="G185" s="27">
        <v>46178</v>
      </c>
      <c r="H185" s="36">
        <v>46184</v>
      </c>
      <c r="I185" s="26"/>
      <c r="J185" s="26"/>
      <c r="K185" s="26"/>
      <c r="L185" s="50"/>
    </row>
    <row r="186" spans="1:12" ht="60" hidden="1" x14ac:dyDescent="0.25">
      <c r="A186" s="43">
        <v>185</v>
      </c>
      <c r="B186" s="57" t="s">
        <v>400</v>
      </c>
      <c r="C186" s="52" t="str">
        <f>INDEX(Com_Scr!C:C,MATCH(Employee_Master!B:B,Com_Scr!B:B))</f>
        <v>ROYAL DELUXE GENERAL TRANSPORTING - L.L.C - S.P.C</v>
      </c>
      <c r="D186" s="38">
        <v>784199637283583</v>
      </c>
      <c r="E186" s="55" t="s">
        <v>733</v>
      </c>
      <c r="F186" s="30">
        <v>122536235</v>
      </c>
      <c r="G186" s="27">
        <v>46417</v>
      </c>
      <c r="H186" s="36">
        <v>46427</v>
      </c>
      <c r="I186" s="26"/>
      <c r="J186" s="26"/>
      <c r="K186" s="26"/>
      <c r="L186" s="50"/>
    </row>
    <row r="187" spans="1:12" ht="60" hidden="1" x14ac:dyDescent="0.25">
      <c r="A187" s="43">
        <v>186</v>
      </c>
      <c r="B187" s="57" t="s">
        <v>400</v>
      </c>
      <c r="C187" s="52" t="str">
        <f>INDEX(Com_Scr!C:C,MATCH(Employee_Master!B:B,Com_Scr!B:B))</f>
        <v>ROYAL DELUXE GENERAL TRANSPORTING - L.L.C - S.P.C</v>
      </c>
      <c r="D187" s="38">
        <v>784198973244001</v>
      </c>
      <c r="E187" s="55" t="s">
        <v>734</v>
      </c>
      <c r="F187" s="30">
        <v>137151403</v>
      </c>
      <c r="G187" s="27">
        <v>46828</v>
      </c>
      <c r="H187" s="36">
        <v>46830</v>
      </c>
      <c r="I187" s="26"/>
      <c r="J187" s="26"/>
      <c r="K187" s="26"/>
      <c r="L187" s="50"/>
    </row>
    <row r="188" spans="1:12" ht="60" hidden="1" x14ac:dyDescent="0.25">
      <c r="A188" s="43">
        <v>187</v>
      </c>
      <c r="B188" s="57" t="s">
        <v>400</v>
      </c>
      <c r="C188" s="52" t="str">
        <f>INDEX(Com_Scr!C:C,MATCH(Employee_Master!B:B,Com_Scr!B:B))</f>
        <v>ROYAL DELUXE GENERAL TRANSPORTING - L.L.C - S.P.C</v>
      </c>
      <c r="D188" s="38">
        <v>784199635722058</v>
      </c>
      <c r="E188" s="55" t="s">
        <v>735</v>
      </c>
      <c r="F188" s="30">
        <v>135414287</v>
      </c>
      <c r="G188" s="27">
        <v>46774</v>
      </c>
      <c r="H188" s="36">
        <v>46780</v>
      </c>
      <c r="I188" s="26"/>
      <c r="J188" s="26"/>
      <c r="K188" s="26"/>
      <c r="L188" s="50"/>
    </row>
    <row r="189" spans="1:12" ht="60" hidden="1" x14ac:dyDescent="0.25">
      <c r="A189" s="43">
        <v>188</v>
      </c>
      <c r="B189" s="57" t="s">
        <v>400</v>
      </c>
      <c r="C189" s="52" t="str">
        <f>INDEX(Com_Scr!C:C,MATCH(Employee_Master!B:B,Com_Scr!B:B))</f>
        <v>ROYAL DELUXE GENERAL TRANSPORTING - L.L.C - S.P.C</v>
      </c>
      <c r="D189" s="38">
        <v>784197341603765</v>
      </c>
      <c r="E189" s="55" t="s">
        <v>736</v>
      </c>
      <c r="F189" s="30">
        <v>119110696</v>
      </c>
      <c r="G189" s="27">
        <v>46318</v>
      </c>
      <c r="H189" s="36">
        <v>46379</v>
      </c>
      <c r="I189" s="26"/>
      <c r="J189" s="26"/>
      <c r="K189" s="26"/>
      <c r="L189" s="50"/>
    </row>
    <row r="190" spans="1:12" ht="60" hidden="1" x14ac:dyDescent="0.25">
      <c r="A190" s="43">
        <v>189</v>
      </c>
      <c r="B190" s="57" t="s">
        <v>400</v>
      </c>
      <c r="C190" s="52" t="str">
        <f>INDEX(Com_Scr!C:C,MATCH(Employee_Master!B:B,Com_Scr!B:B))</f>
        <v>ROYAL DELUXE GENERAL TRANSPORTING - L.L.C - S.P.C</v>
      </c>
      <c r="D190" s="38">
        <v>784198075395313</v>
      </c>
      <c r="E190" s="55" t="s">
        <v>737</v>
      </c>
      <c r="F190" s="30">
        <v>126717724</v>
      </c>
      <c r="G190" s="27">
        <v>46533</v>
      </c>
      <c r="H190" s="36">
        <v>46540</v>
      </c>
      <c r="I190" s="26"/>
      <c r="J190" s="26"/>
      <c r="K190" s="26"/>
      <c r="L190" s="50"/>
    </row>
    <row r="191" spans="1:12" ht="60" hidden="1" x14ac:dyDescent="0.25">
      <c r="A191" s="43">
        <v>190</v>
      </c>
      <c r="B191" s="57" t="s">
        <v>400</v>
      </c>
      <c r="C191" s="52" t="str">
        <f>INDEX(Com_Scr!C:C,MATCH(Employee_Master!B:B,Com_Scr!B:B))</f>
        <v>ROYAL DELUXE GENERAL TRANSPORTING - L.L.C - S.P.C</v>
      </c>
      <c r="D191" s="38">
        <v>784198626208684</v>
      </c>
      <c r="E191" s="55" t="s">
        <v>738</v>
      </c>
      <c r="F191" s="30">
        <v>122882190</v>
      </c>
      <c r="G191" s="27">
        <v>46428</v>
      </c>
      <c r="H191" s="36">
        <v>46430</v>
      </c>
      <c r="I191" s="26"/>
      <c r="J191" s="26"/>
      <c r="K191" s="26"/>
      <c r="L191" s="50"/>
    </row>
    <row r="192" spans="1:12" ht="60" hidden="1" x14ac:dyDescent="0.25">
      <c r="A192" s="43">
        <v>191</v>
      </c>
      <c r="B192" s="57" t="s">
        <v>400</v>
      </c>
      <c r="C192" s="52" t="str">
        <f>INDEX(Com_Scr!C:C,MATCH(Employee_Master!B:B,Com_Scr!B:B))</f>
        <v>ROYAL DELUXE GENERAL TRANSPORTING - L.L.C - S.P.C</v>
      </c>
      <c r="D192" s="38">
        <v>784199425807213</v>
      </c>
      <c r="E192" s="55" t="s">
        <v>739</v>
      </c>
      <c r="F192" s="30">
        <v>134669391</v>
      </c>
      <c r="G192" s="27">
        <v>46757</v>
      </c>
      <c r="H192" s="36">
        <v>46770</v>
      </c>
      <c r="I192" s="26"/>
      <c r="J192" s="26"/>
      <c r="K192" s="26"/>
    </row>
    <row r="193" spans="1:11" ht="60" hidden="1" x14ac:dyDescent="0.25">
      <c r="A193" s="43">
        <v>192</v>
      </c>
      <c r="B193" s="57" t="s">
        <v>400</v>
      </c>
      <c r="C193" s="52" t="str">
        <f>INDEX(Com_Scr!C:C,MATCH(Employee_Master!B:B,Com_Scr!B:B))</f>
        <v>ROYAL DELUXE GENERAL TRANSPORTING - L.L.C - S.P.C</v>
      </c>
      <c r="D193" s="38">
        <v>784198209254162</v>
      </c>
      <c r="E193" s="55" t="s">
        <v>740</v>
      </c>
      <c r="F193" s="30">
        <v>117405855</v>
      </c>
      <c r="G193" s="27">
        <v>46245</v>
      </c>
      <c r="H193" s="36">
        <v>46251</v>
      </c>
      <c r="I193" s="26"/>
      <c r="J193" s="26"/>
      <c r="K193" s="26"/>
    </row>
    <row r="194" spans="1:11" ht="60" hidden="1" x14ac:dyDescent="0.25">
      <c r="A194" s="43">
        <v>193</v>
      </c>
      <c r="B194" s="57" t="s">
        <v>400</v>
      </c>
      <c r="C194" s="52" t="str">
        <f>INDEX(Com_Scr!C:C,MATCH(Employee_Master!B:B,Com_Scr!B:B))</f>
        <v>ROYAL DELUXE GENERAL TRANSPORTING - L.L.C - S.P.C</v>
      </c>
      <c r="D194" s="38">
        <v>784199481576926</v>
      </c>
      <c r="E194" s="55" t="s">
        <v>741</v>
      </c>
      <c r="F194" s="30">
        <v>118775296</v>
      </c>
      <c r="G194" s="27">
        <v>46286</v>
      </c>
      <c r="H194" s="36">
        <v>46298</v>
      </c>
      <c r="I194" s="26"/>
      <c r="J194" s="26"/>
      <c r="K194" s="26"/>
    </row>
    <row r="195" spans="1:11" ht="60" hidden="1" x14ac:dyDescent="0.25">
      <c r="A195" s="43">
        <v>194</v>
      </c>
      <c r="B195" s="57" t="s">
        <v>400</v>
      </c>
      <c r="C195" s="52" t="str">
        <f>INDEX(Com_Scr!C:C,MATCH(Employee_Master!B:B,Com_Scr!B:B))</f>
        <v>ROYAL DELUXE GENERAL TRANSPORTING - L.L.C - S.P.C</v>
      </c>
      <c r="D195" s="38">
        <v>784198350436170</v>
      </c>
      <c r="E195" s="55" t="s">
        <v>742</v>
      </c>
      <c r="F195" s="30">
        <v>128833375</v>
      </c>
      <c r="G195" s="27">
        <v>46584</v>
      </c>
      <c r="H195" s="36">
        <v>46587</v>
      </c>
      <c r="I195" s="26"/>
      <c r="J195" s="26"/>
      <c r="K195" s="26"/>
    </row>
    <row r="196" spans="1:11" ht="60" hidden="1" x14ac:dyDescent="0.25">
      <c r="A196" s="43">
        <v>195</v>
      </c>
      <c r="B196" s="57" t="s">
        <v>400</v>
      </c>
      <c r="C196" s="52" t="str">
        <f>INDEX(Com_Scr!C:C,MATCH(Employee_Master!B:B,Com_Scr!B:B))</f>
        <v>ROYAL DELUXE GENERAL TRANSPORTING - L.L.C - S.P.C</v>
      </c>
      <c r="D196" s="38">
        <v>784198710374145</v>
      </c>
      <c r="E196" s="55" t="s">
        <v>743</v>
      </c>
      <c r="F196" s="30">
        <v>133095466</v>
      </c>
      <c r="G196" s="27">
        <v>46702</v>
      </c>
      <c r="H196" s="36">
        <v>46717</v>
      </c>
      <c r="I196" s="26"/>
      <c r="J196" s="26"/>
      <c r="K196" s="26"/>
    </row>
    <row r="197" spans="1:11" ht="60" hidden="1" x14ac:dyDescent="0.25">
      <c r="A197" s="43">
        <v>196</v>
      </c>
      <c r="B197" s="57" t="s">
        <v>400</v>
      </c>
      <c r="C197" s="52" t="str">
        <f>INDEX(Com_Scr!C:C,MATCH(Employee_Master!B:B,Com_Scr!B:B))</f>
        <v>ROYAL DELUXE GENERAL TRANSPORTING - L.L.C - S.P.C</v>
      </c>
      <c r="D197" s="38">
        <v>784199258105842</v>
      </c>
      <c r="E197" s="55" t="s">
        <v>744</v>
      </c>
      <c r="F197" s="30">
        <v>125761981</v>
      </c>
      <c r="G197" s="27">
        <v>46520</v>
      </c>
      <c r="H197" s="36">
        <v>46508</v>
      </c>
      <c r="I197" s="26"/>
      <c r="J197" s="26"/>
      <c r="K197" s="26"/>
    </row>
    <row r="198" spans="1:11" ht="60" hidden="1" x14ac:dyDescent="0.25">
      <c r="A198" s="43">
        <v>197</v>
      </c>
      <c r="B198" s="57" t="s">
        <v>400</v>
      </c>
      <c r="C198" s="52" t="str">
        <f>INDEX(Com_Scr!C:C,MATCH(Employee_Master!B:B,Com_Scr!B:B))</f>
        <v>ROYAL DELUXE GENERAL TRANSPORTING - L.L.C - S.P.C</v>
      </c>
      <c r="D198" s="38">
        <v>784199594149827</v>
      </c>
      <c r="E198" s="55" t="s">
        <v>745</v>
      </c>
      <c r="F198" s="30">
        <v>125836525</v>
      </c>
      <c r="G198" s="27">
        <v>46584</v>
      </c>
      <c r="H198" s="36">
        <v>46509</v>
      </c>
      <c r="I198" s="26"/>
      <c r="J198" s="26"/>
      <c r="K198" s="26"/>
    </row>
    <row r="199" spans="1:11" ht="60" hidden="1" x14ac:dyDescent="0.25">
      <c r="A199" s="43">
        <v>198</v>
      </c>
      <c r="B199" s="57" t="s">
        <v>400</v>
      </c>
      <c r="C199" s="52" t="str">
        <f>INDEX(Com_Scr!C:C,MATCH(Employee_Master!B:B,Com_Scr!B:B))</f>
        <v>ROYAL DELUXE GENERAL TRANSPORTING - L.L.C - S.P.C</v>
      </c>
      <c r="D199" s="38">
        <v>784200533960538</v>
      </c>
      <c r="E199" s="55" t="s">
        <v>746</v>
      </c>
      <c r="F199" s="30">
        <v>127726609</v>
      </c>
      <c r="G199" s="27">
        <v>46539</v>
      </c>
      <c r="H199" s="36">
        <v>46550</v>
      </c>
      <c r="I199" s="26"/>
      <c r="J199" s="26"/>
      <c r="K199" s="26"/>
    </row>
    <row r="200" spans="1:11" ht="60" hidden="1" x14ac:dyDescent="0.25">
      <c r="A200" s="43">
        <v>199</v>
      </c>
      <c r="B200" s="57" t="s">
        <v>400</v>
      </c>
      <c r="C200" s="52" t="str">
        <f>INDEX(Com_Scr!C:C,MATCH(Employee_Master!B:B,Com_Scr!B:B))</f>
        <v>ROYAL DELUXE GENERAL TRANSPORTING - L.L.C - S.P.C</v>
      </c>
      <c r="D200" s="38">
        <v>784199463149320</v>
      </c>
      <c r="E200" s="55" t="s">
        <v>747</v>
      </c>
      <c r="F200" s="30">
        <v>128714928</v>
      </c>
      <c r="G200" s="27">
        <v>46583</v>
      </c>
      <c r="H200" s="36">
        <v>46587</v>
      </c>
      <c r="I200" s="26"/>
      <c r="J200" s="26"/>
      <c r="K200" s="26"/>
    </row>
    <row r="201" spans="1:11" ht="60" hidden="1" x14ac:dyDescent="0.25">
      <c r="A201" s="43">
        <v>200</v>
      </c>
      <c r="B201" s="57" t="s">
        <v>400</v>
      </c>
      <c r="C201" s="52" t="str">
        <f>INDEX(Com_Scr!C:C,MATCH(Employee_Master!B:B,Com_Scr!B:B))</f>
        <v>ROYAL DELUXE GENERAL TRANSPORTING - L.L.C - S.P.C</v>
      </c>
      <c r="D201" s="38">
        <v>784199452592910</v>
      </c>
      <c r="E201" s="55" t="s">
        <v>748</v>
      </c>
      <c r="F201" s="30">
        <v>133590990</v>
      </c>
      <c r="G201" s="27">
        <v>46702</v>
      </c>
      <c r="H201" s="36">
        <v>46718</v>
      </c>
      <c r="I201" s="26"/>
      <c r="J201" s="26"/>
      <c r="K201" s="26"/>
    </row>
    <row r="202" spans="1:11" ht="45" hidden="1" x14ac:dyDescent="0.25">
      <c r="A202" s="43">
        <v>201</v>
      </c>
      <c r="B202" s="57" t="s">
        <v>403</v>
      </c>
      <c r="C202" s="52" t="str">
        <f>INDEX(Com_Scr!C:C,MATCH(Employee_Master!B:B,Com_Scr!B:B))</f>
        <v>HEXA GENERAL MAINTENANCE - L.L.C - S.P.C</v>
      </c>
      <c r="D202" s="38">
        <v>784200244756050</v>
      </c>
      <c r="E202" s="55" t="s">
        <v>707</v>
      </c>
      <c r="F202" s="30">
        <v>130572113</v>
      </c>
      <c r="G202" s="27">
        <v>46637</v>
      </c>
      <c r="H202" s="36">
        <v>46654</v>
      </c>
      <c r="I202" s="26"/>
      <c r="J202" s="26"/>
      <c r="K202" s="26"/>
    </row>
    <row r="203" spans="1:11" ht="45" hidden="1" x14ac:dyDescent="0.25">
      <c r="A203" s="43">
        <v>202</v>
      </c>
      <c r="B203" s="57" t="s">
        <v>403</v>
      </c>
      <c r="C203" s="52" t="str">
        <f>INDEX(Com_Scr!C:C,MATCH(Employee_Master!B:B,Com_Scr!B:B))</f>
        <v>HEXA GENERAL MAINTENANCE - L.L.C - S.P.C</v>
      </c>
      <c r="D203" s="38">
        <v>784199043105255</v>
      </c>
      <c r="E203" s="55" t="s">
        <v>971</v>
      </c>
      <c r="F203" s="30">
        <v>124825500</v>
      </c>
      <c r="G203" s="27">
        <v>46479</v>
      </c>
      <c r="H203" s="36">
        <v>46491</v>
      </c>
      <c r="I203" s="26"/>
      <c r="J203" s="26"/>
      <c r="K203" s="26"/>
    </row>
    <row r="204" spans="1:11" ht="60" hidden="1" x14ac:dyDescent="0.25">
      <c r="A204" s="43">
        <v>203</v>
      </c>
      <c r="B204" s="57" t="s">
        <v>403</v>
      </c>
      <c r="C204" s="52" t="str">
        <f>INDEX(Com_Scr!C:C,MATCH(Employee_Master!B:B,Com_Scr!B:B))</f>
        <v>HEXA GENERAL MAINTENANCE - L.L.C - S.P.C</v>
      </c>
      <c r="D204" s="38">
        <v>784199127361378</v>
      </c>
      <c r="E204" s="55" t="s">
        <v>708</v>
      </c>
      <c r="F204" s="30">
        <v>112899534</v>
      </c>
      <c r="G204" s="27">
        <v>46837</v>
      </c>
      <c r="H204" s="36">
        <v>46838</v>
      </c>
      <c r="I204" s="26"/>
      <c r="J204" s="26"/>
      <c r="K204" s="26"/>
    </row>
    <row r="205" spans="1:11" ht="60" hidden="1" x14ac:dyDescent="0.25">
      <c r="A205" s="43">
        <v>204</v>
      </c>
      <c r="B205" s="57" t="s">
        <v>403</v>
      </c>
      <c r="C205" s="52" t="str">
        <f>INDEX(Com_Scr!C:C,MATCH(Employee_Master!B:B,Com_Scr!B:B))</f>
        <v>HEXA GENERAL MAINTENANCE - L.L.C - S.P.C</v>
      </c>
      <c r="D205" s="38">
        <v>784198416361263</v>
      </c>
      <c r="E205" s="55" t="s">
        <v>709</v>
      </c>
      <c r="F205" s="30">
        <v>126692983</v>
      </c>
      <c r="G205" s="27">
        <v>46533</v>
      </c>
      <c r="H205" s="36">
        <v>46557</v>
      </c>
      <c r="I205" s="26"/>
      <c r="J205" s="26"/>
      <c r="K205" s="26"/>
    </row>
    <row r="206" spans="1:11" ht="60" hidden="1" x14ac:dyDescent="0.25">
      <c r="A206" s="43">
        <v>205</v>
      </c>
      <c r="B206" s="57" t="s">
        <v>403</v>
      </c>
      <c r="C206" s="52" t="str">
        <f>INDEX(Com_Scr!C:C,MATCH(Employee_Master!B:B,Com_Scr!B:B))</f>
        <v>HEXA GENERAL MAINTENANCE - L.L.C - S.P.C</v>
      </c>
      <c r="D206" s="38">
        <v>784200163542515</v>
      </c>
      <c r="E206" s="55" t="s">
        <v>710</v>
      </c>
      <c r="F206" s="30">
        <v>131823369</v>
      </c>
      <c r="G206" s="27">
        <v>46674</v>
      </c>
      <c r="H206" s="36">
        <v>46688</v>
      </c>
      <c r="I206" s="26"/>
      <c r="J206" s="26"/>
      <c r="K206" s="26"/>
    </row>
    <row r="207" spans="1:11" ht="45" hidden="1" x14ac:dyDescent="0.25">
      <c r="A207" s="43">
        <v>206</v>
      </c>
      <c r="B207" s="57" t="s">
        <v>403</v>
      </c>
      <c r="C207" s="52" t="str">
        <f>INDEX(Com_Scr!C:C,MATCH(Employee_Master!B:B,Com_Scr!B:B))</f>
        <v>HEXA GENERAL MAINTENANCE - L.L.C - S.P.C</v>
      </c>
      <c r="D207" s="38">
        <v>784199115359426</v>
      </c>
      <c r="E207" s="55" t="s">
        <v>711</v>
      </c>
      <c r="F207" s="30">
        <v>121952212</v>
      </c>
      <c r="G207" s="27">
        <v>46424</v>
      </c>
      <c r="H207" s="36">
        <v>46458</v>
      </c>
      <c r="I207" s="26"/>
      <c r="J207" s="26"/>
      <c r="K207" s="26"/>
    </row>
    <row r="208" spans="1:11" ht="45" hidden="1" x14ac:dyDescent="0.25">
      <c r="A208" s="43">
        <v>207</v>
      </c>
      <c r="B208" s="57" t="s">
        <v>403</v>
      </c>
      <c r="C208" s="52" t="str">
        <f>INDEX(Com_Scr!C:C,MATCH(Employee_Master!B:B,Com_Scr!B:B))</f>
        <v>HEXA GENERAL MAINTENANCE - L.L.C - S.P.C</v>
      </c>
      <c r="D208" s="38">
        <v>784199753540048</v>
      </c>
      <c r="E208" s="55" t="s">
        <v>712</v>
      </c>
      <c r="F208" s="30">
        <v>132817060</v>
      </c>
      <c r="G208" s="27">
        <v>46719</v>
      </c>
      <c r="H208" s="36">
        <v>46750</v>
      </c>
      <c r="I208" s="26"/>
      <c r="J208" s="26"/>
      <c r="K208" s="26"/>
    </row>
    <row r="209" spans="1:11" ht="60" hidden="1" x14ac:dyDescent="0.25">
      <c r="A209" s="43">
        <v>208</v>
      </c>
      <c r="B209" s="57" t="s">
        <v>403</v>
      </c>
      <c r="C209" s="52" t="str">
        <f>INDEX(Com_Scr!C:C,MATCH(Employee_Master!B:B,Com_Scr!B:B))</f>
        <v>HEXA GENERAL MAINTENANCE - L.L.C - S.P.C</v>
      </c>
      <c r="D209" s="38">
        <v>784200042471803</v>
      </c>
      <c r="E209" s="55" t="s">
        <v>713</v>
      </c>
      <c r="F209" s="30">
        <v>124725554</v>
      </c>
      <c r="G209" s="27">
        <v>46474</v>
      </c>
      <c r="H209" s="36">
        <v>46491</v>
      </c>
      <c r="I209" s="26"/>
      <c r="J209" s="26"/>
      <c r="K209" s="26"/>
    </row>
    <row r="210" spans="1:11" ht="45" hidden="1" x14ac:dyDescent="0.25">
      <c r="A210" s="43">
        <v>209</v>
      </c>
      <c r="B210" s="57" t="s">
        <v>403</v>
      </c>
      <c r="C210" s="52" t="str">
        <f>INDEX(Com_Scr!C:C,MATCH(Employee_Master!B:B,Com_Scr!B:B))</f>
        <v>HEXA GENERAL MAINTENANCE - L.L.C - S.P.C</v>
      </c>
      <c r="D210" s="38">
        <v>784198636526257</v>
      </c>
      <c r="E210" s="55" t="s">
        <v>714</v>
      </c>
      <c r="F210" s="30">
        <v>122499224</v>
      </c>
      <c r="G210" s="27">
        <v>46417</v>
      </c>
      <c r="H210" s="36">
        <v>46427</v>
      </c>
      <c r="I210" s="26"/>
      <c r="J210" s="26"/>
      <c r="K210" s="26"/>
    </row>
    <row r="211" spans="1:11" ht="45" hidden="1" x14ac:dyDescent="0.25">
      <c r="A211" s="43">
        <v>210</v>
      </c>
      <c r="B211" s="57" t="s">
        <v>403</v>
      </c>
      <c r="C211" s="52" t="str">
        <f>INDEX(Com_Scr!C:C,MATCH(Employee_Master!B:B,Com_Scr!B:B))</f>
        <v>HEXA GENERAL MAINTENANCE - L.L.C - S.P.C</v>
      </c>
      <c r="D211" s="38" t="s">
        <v>969</v>
      </c>
      <c r="E211" s="55" t="s">
        <v>972</v>
      </c>
      <c r="F211" s="30">
        <v>133094243</v>
      </c>
      <c r="G211" s="27">
        <v>46709</v>
      </c>
      <c r="H211" s="36" t="s">
        <v>717</v>
      </c>
      <c r="I211" s="28"/>
      <c r="J211" s="28"/>
      <c r="K211" s="26"/>
    </row>
    <row r="212" spans="1:11" ht="45" hidden="1" x14ac:dyDescent="0.25">
      <c r="A212" s="43">
        <v>211</v>
      </c>
      <c r="B212" s="57" t="s">
        <v>403</v>
      </c>
      <c r="C212" s="52" t="str">
        <f>INDEX(Com_Scr!C:C,MATCH(Employee_Master!B:B,Com_Scr!B:B))</f>
        <v>HEXA GENERAL MAINTENANCE - L.L.C - S.P.C</v>
      </c>
      <c r="D212" s="38">
        <v>784198552040580</v>
      </c>
      <c r="E212" s="55" t="s">
        <v>715</v>
      </c>
      <c r="F212" s="30">
        <v>131567883</v>
      </c>
      <c r="G212" s="27">
        <v>46525</v>
      </c>
      <c r="H212" s="36">
        <v>46636</v>
      </c>
      <c r="I212" s="26"/>
      <c r="J212" s="26"/>
      <c r="K212" s="26"/>
    </row>
    <row r="213" spans="1:11" ht="45" hidden="1" x14ac:dyDescent="0.25">
      <c r="A213" s="43">
        <v>212</v>
      </c>
      <c r="B213" s="57" t="s">
        <v>403</v>
      </c>
      <c r="C213" s="52" t="str">
        <f>INDEX(Com_Scr!C:C,MATCH(Employee_Master!B:B,Com_Scr!B:B))</f>
        <v>HEXA GENERAL MAINTENANCE - L.L.C - S.P.C</v>
      </c>
      <c r="D213" s="38">
        <v>784198636526257</v>
      </c>
      <c r="E213" s="55" t="s">
        <v>716</v>
      </c>
      <c r="F213" s="30">
        <v>119975450</v>
      </c>
      <c r="G213" s="27">
        <v>46302</v>
      </c>
      <c r="H213" s="36">
        <v>46331</v>
      </c>
      <c r="I213" s="26"/>
      <c r="J213" s="26"/>
      <c r="K213" s="26"/>
    </row>
    <row r="214" spans="1:11" ht="30" hidden="1" x14ac:dyDescent="0.25">
      <c r="A214" s="43">
        <v>213</v>
      </c>
      <c r="B214" s="35" t="s">
        <v>405</v>
      </c>
      <c r="C214" s="52" t="str">
        <f>INDEX(Com_Scr!C:C,MATCH(Employee_Master!B:B,Com_Scr!B:B))</f>
        <v>MARDAN MEDICAL CENTER S.P.C - L.L.C</v>
      </c>
      <c r="D214" s="38" t="s">
        <v>335</v>
      </c>
      <c r="E214" s="55" t="s">
        <v>762</v>
      </c>
      <c r="F214" s="30">
        <v>125805167</v>
      </c>
      <c r="G214" s="27">
        <v>46142</v>
      </c>
      <c r="H214" s="36" t="s">
        <v>348</v>
      </c>
      <c r="I214" s="26"/>
      <c r="J214" s="26"/>
      <c r="K214" s="26"/>
    </row>
    <row r="215" spans="1:11" ht="30" hidden="1" x14ac:dyDescent="0.25">
      <c r="A215" s="43">
        <v>214</v>
      </c>
      <c r="B215" s="35" t="s">
        <v>405</v>
      </c>
      <c r="C215" s="52" t="str">
        <f>INDEX(Com_Scr!C:C,MATCH(Employee_Master!B:B,Com_Scr!B:B))</f>
        <v>MARDAN MEDICAL CENTER S.P.C - L.L.C</v>
      </c>
      <c r="D215" s="38" t="s">
        <v>335</v>
      </c>
      <c r="E215" s="55" t="s">
        <v>763</v>
      </c>
      <c r="F215" s="30">
        <v>122134547</v>
      </c>
      <c r="G215" s="27">
        <v>46404</v>
      </c>
      <c r="H215" s="36" t="s">
        <v>771</v>
      </c>
      <c r="I215" s="26"/>
      <c r="J215" s="26"/>
      <c r="K215" s="26"/>
    </row>
    <row r="216" spans="1:11" ht="30" hidden="1" x14ac:dyDescent="0.25">
      <c r="A216" s="43">
        <v>215</v>
      </c>
      <c r="B216" s="35" t="s">
        <v>405</v>
      </c>
      <c r="C216" s="52" t="str">
        <f>INDEX(Com_Scr!C:C,MATCH(Employee_Master!B:B,Com_Scr!B:B))</f>
        <v>MARDAN MEDICAL CENTER S.P.C - L.L.C</v>
      </c>
      <c r="D216" s="38" t="s">
        <v>335</v>
      </c>
      <c r="E216" s="55" t="s">
        <v>764</v>
      </c>
      <c r="F216" s="30">
        <v>122182296</v>
      </c>
      <c r="G216" s="27">
        <v>46407</v>
      </c>
      <c r="H216" s="36" t="s">
        <v>771</v>
      </c>
      <c r="I216" s="26"/>
      <c r="J216" s="26"/>
      <c r="K216" s="26"/>
    </row>
    <row r="217" spans="1:11" ht="45" hidden="1" x14ac:dyDescent="0.25">
      <c r="A217" s="43">
        <v>216</v>
      </c>
      <c r="B217" s="35" t="s">
        <v>405</v>
      </c>
      <c r="C217" s="52" t="str">
        <f>INDEX(Com_Scr!C:C,MATCH(Employee_Master!B:B,Com_Scr!B:B))</f>
        <v>MARDAN MEDICAL CENTER S.P.C - L.L.C</v>
      </c>
      <c r="D217" s="38" t="s">
        <v>335</v>
      </c>
      <c r="E217" s="55" t="s">
        <v>765</v>
      </c>
      <c r="F217" s="30">
        <v>122047214</v>
      </c>
      <c r="G217" s="27">
        <v>46403</v>
      </c>
      <c r="H217" s="36" t="s">
        <v>771</v>
      </c>
      <c r="I217" s="26"/>
      <c r="J217" s="26"/>
      <c r="K217" s="26"/>
    </row>
    <row r="218" spans="1:11" ht="30" hidden="1" x14ac:dyDescent="0.25">
      <c r="A218" s="43">
        <v>217</v>
      </c>
      <c r="B218" s="35" t="s">
        <v>405</v>
      </c>
      <c r="C218" s="52" t="str">
        <f>INDEX(Com_Scr!C:C,MATCH(Employee_Master!B:B,Com_Scr!B:B))</f>
        <v>MARDAN MEDICAL CENTER S.P.C - L.L.C</v>
      </c>
      <c r="D218" s="38" t="s">
        <v>335</v>
      </c>
      <c r="E218" s="55" t="s">
        <v>766</v>
      </c>
      <c r="F218" s="30">
        <v>131075698</v>
      </c>
      <c r="G218" s="27">
        <v>46651</v>
      </c>
      <c r="H218" s="36" t="s">
        <v>717</v>
      </c>
      <c r="I218" s="26"/>
      <c r="J218" s="26"/>
      <c r="K218" s="26"/>
    </row>
    <row r="219" spans="1:11" ht="30" hidden="1" x14ac:dyDescent="0.25">
      <c r="A219" s="43">
        <v>218</v>
      </c>
      <c r="B219" s="35" t="s">
        <v>405</v>
      </c>
      <c r="C219" s="52" t="str">
        <f>INDEX(Com_Scr!C:C,MATCH(Employee_Master!B:B,Com_Scr!B:B))</f>
        <v>MARDAN MEDICAL CENTER S.P.C - L.L.C</v>
      </c>
      <c r="D219" s="38">
        <v>784197568170381</v>
      </c>
      <c r="E219" s="55" t="s">
        <v>767</v>
      </c>
      <c r="F219" s="30">
        <v>133776086</v>
      </c>
      <c r="G219" s="27">
        <v>46690</v>
      </c>
      <c r="H219" s="36">
        <v>46706</v>
      </c>
      <c r="I219" s="26"/>
      <c r="J219" s="26"/>
      <c r="K219" s="26"/>
    </row>
    <row r="220" spans="1:11" ht="30" hidden="1" x14ac:dyDescent="0.25">
      <c r="A220" s="43">
        <v>219</v>
      </c>
      <c r="B220" s="35" t="s">
        <v>405</v>
      </c>
      <c r="C220" s="52" t="str">
        <f>INDEX(Com_Scr!C:C,MATCH(Employee_Master!B:B,Com_Scr!B:B))</f>
        <v>MARDAN MEDICAL CENTER S.P.C - L.L.C</v>
      </c>
      <c r="D220" s="38">
        <v>784199028115634</v>
      </c>
      <c r="E220" s="55" t="s">
        <v>768</v>
      </c>
      <c r="F220" s="30">
        <v>129170241</v>
      </c>
      <c r="G220" s="27">
        <v>46560</v>
      </c>
      <c r="H220" s="36">
        <v>46584</v>
      </c>
      <c r="I220" s="26"/>
      <c r="J220" s="26"/>
      <c r="K220" s="26"/>
    </row>
    <row r="221" spans="1:11" ht="30" hidden="1" x14ac:dyDescent="0.25">
      <c r="A221" s="43">
        <v>220</v>
      </c>
      <c r="B221" s="35" t="s">
        <v>405</v>
      </c>
      <c r="C221" s="52" t="str">
        <f>INDEX(Com_Scr!C:C,MATCH(Employee_Master!B:B,Com_Scr!B:B))</f>
        <v>MARDAN MEDICAL CENTER S.P.C - L.L.C</v>
      </c>
      <c r="D221" s="38">
        <v>784199968496580</v>
      </c>
      <c r="E221" s="55" t="s">
        <v>769</v>
      </c>
      <c r="F221" s="30">
        <v>116274737</v>
      </c>
      <c r="G221" s="27">
        <v>46201</v>
      </c>
      <c r="H221" s="36">
        <v>46205</v>
      </c>
      <c r="I221" s="26"/>
      <c r="J221" s="26"/>
      <c r="K221" s="26"/>
    </row>
    <row r="222" spans="1:11" ht="30" hidden="1" x14ac:dyDescent="0.25">
      <c r="A222" s="43">
        <v>221</v>
      </c>
      <c r="B222" s="35" t="s">
        <v>405</v>
      </c>
      <c r="C222" s="52" t="str">
        <f>INDEX(Com_Scr!C:C,MATCH(Employee_Master!B:B,Com_Scr!B:B))</f>
        <v>MARDAN MEDICAL CENTER S.P.C - L.L.C</v>
      </c>
      <c r="D222" s="38">
        <v>784199213085733</v>
      </c>
      <c r="E222" s="55" t="s">
        <v>770</v>
      </c>
      <c r="F222" s="30">
        <v>133969170</v>
      </c>
      <c r="G222" s="27">
        <v>46669</v>
      </c>
      <c r="H222" s="36">
        <v>46721</v>
      </c>
      <c r="I222" s="26"/>
      <c r="J222" s="26"/>
      <c r="K222" s="26"/>
    </row>
    <row r="223" spans="1:11" ht="30" hidden="1" x14ac:dyDescent="0.25">
      <c r="A223" s="43">
        <v>222</v>
      </c>
      <c r="B223" s="35" t="s">
        <v>406</v>
      </c>
      <c r="C223" s="52" t="str">
        <f>INDEX(Com_Scr!C:C,MATCH(Employee_Master!B:B,Com_Scr!B:B))</f>
        <v>NOOR AL SHIFA PHARMACY</v>
      </c>
      <c r="D223" s="38"/>
      <c r="E223" s="55" t="s">
        <v>781</v>
      </c>
      <c r="F223" s="26">
        <v>121231383</v>
      </c>
      <c r="G223" s="29">
        <v>46380</v>
      </c>
      <c r="H223" s="36"/>
      <c r="I223" s="26"/>
      <c r="J223" s="26"/>
      <c r="K223" s="26"/>
    </row>
    <row r="224" spans="1:11" ht="30" hidden="1" x14ac:dyDescent="0.25">
      <c r="A224" s="43">
        <v>223</v>
      </c>
      <c r="B224" s="35" t="s">
        <v>406</v>
      </c>
      <c r="C224" s="52" t="str">
        <f>INDEX(Com_Scr!C:C,MATCH(Employee_Master!B:B,Com_Scr!B:B))</f>
        <v>NOOR AL SHIFA PHARMACY</v>
      </c>
      <c r="D224" s="38"/>
      <c r="E224" s="55" t="s">
        <v>782</v>
      </c>
      <c r="F224" s="26">
        <v>126968216</v>
      </c>
      <c r="G224" s="29">
        <v>46539</v>
      </c>
      <c r="H224" s="36"/>
      <c r="I224" s="26"/>
      <c r="J224" s="26"/>
      <c r="K224" s="26"/>
    </row>
    <row r="225" spans="1:11" ht="45" hidden="1" x14ac:dyDescent="0.25">
      <c r="A225" s="43">
        <v>224</v>
      </c>
      <c r="B225" s="35" t="s">
        <v>406</v>
      </c>
      <c r="C225" s="52" t="str">
        <f>INDEX(Com_Scr!C:C,MATCH(Employee_Master!B:B,Com_Scr!B:B))</f>
        <v>NOOR AL SHIFA PHARMACY</v>
      </c>
      <c r="D225" s="38"/>
      <c r="E225" s="55" t="s">
        <v>783</v>
      </c>
      <c r="F225" s="26">
        <v>121611027</v>
      </c>
      <c r="G225" s="29">
        <v>46395</v>
      </c>
      <c r="H225" s="36"/>
      <c r="I225" s="26"/>
      <c r="J225" s="26"/>
      <c r="K225" s="26"/>
    </row>
    <row r="226" spans="1:11" ht="45" hidden="1" x14ac:dyDescent="0.25">
      <c r="A226" s="43">
        <v>225</v>
      </c>
      <c r="B226" s="35" t="s">
        <v>470</v>
      </c>
      <c r="C226" s="52" t="str">
        <f>INDEX(Com_Scr!C:C,MATCH(Employee_Master!B:B,Com_Scr!B:B))</f>
        <v>IZWA FRUITS AND VEGETABLES.L.L.C - O.P.C</v>
      </c>
      <c r="D226" s="38"/>
      <c r="E226" s="55" t="s">
        <v>773</v>
      </c>
      <c r="F226" s="30">
        <v>125283072</v>
      </c>
      <c r="G226" s="27">
        <v>46127</v>
      </c>
      <c r="H226" s="36" t="s">
        <v>348</v>
      </c>
      <c r="I226" s="26"/>
      <c r="J226" s="26"/>
      <c r="K226" s="26"/>
    </row>
    <row r="227" spans="1:11" ht="45" hidden="1" x14ac:dyDescent="0.25">
      <c r="A227" s="43">
        <v>226</v>
      </c>
      <c r="B227" s="35" t="s">
        <v>470</v>
      </c>
      <c r="C227" s="52" t="str">
        <f>INDEX(Com_Scr!C:C,MATCH(Employee_Master!B:B,Com_Scr!B:B))</f>
        <v>IZWA FRUITS AND VEGETABLES.L.L.C - O.P.C</v>
      </c>
      <c r="D227" s="38">
        <v>784197575741927</v>
      </c>
      <c r="E227" s="55" t="s">
        <v>774</v>
      </c>
      <c r="F227" s="30">
        <v>136551775</v>
      </c>
      <c r="G227" s="27">
        <v>46812</v>
      </c>
      <c r="H227" s="36">
        <v>46850</v>
      </c>
      <c r="I227" s="26"/>
      <c r="J227" s="26"/>
      <c r="K227" s="26"/>
    </row>
    <row r="228" spans="1:11" ht="45" hidden="1" x14ac:dyDescent="0.25">
      <c r="A228" s="43">
        <v>227</v>
      </c>
      <c r="B228" s="35" t="s">
        <v>470</v>
      </c>
      <c r="C228" s="52" t="str">
        <f>INDEX(Com_Scr!C:C,MATCH(Employee_Master!B:B,Com_Scr!B:B))</f>
        <v>IZWA FRUITS AND VEGETABLES.L.L.C - O.P.C</v>
      </c>
      <c r="D228" s="38">
        <v>784197572482509</v>
      </c>
      <c r="E228" s="55" t="s">
        <v>775</v>
      </c>
      <c r="F228" s="30">
        <v>137541469</v>
      </c>
      <c r="G228" s="29">
        <v>46844</v>
      </c>
      <c r="H228" s="36">
        <v>46855</v>
      </c>
      <c r="I228" s="26"/>
      <c r="J228" s="26"/>
      <c r="K228" s="26"/>
    </row>
    <row r="229" spans="1:11" ht="45" hidden="1" x14ac:dyDescent="0.25">
      <c r="A229" s="43">
        <v>228</v>
      </c>
      <c r="B229" s="35" t="s">
        <v>470</v>
      </c>
      <c r="C229" s="52" t="str">
        <f>INDEX(Com_Scr!C:C,MATCH(Employee_Master!B:B,Com_Scr!B:B))</f>
        <v>IZWA FRUITS AND VEGETABLES.L.L.C - O.P.C</v>
      </c>
      <c r="D229" s="38">
        <v>784199726474853</v>
      </c>
      <c r="E229" s="55" t="s">
        <v>776</v>
      </c>
      <c r="F229" s="30">
        <v>133397281</v>
      </c>
      <c r="G229" s="29">
        <v>46721</v>
      </c>
      <c r="H229" s="36">
        <v>46748</v>
      </c>
      <c r="I229" s="26"/>
      <c r="J229" s="26"/>
      <c r="K229" s="26"/>
    </row>
    <row r="230" spans="1:11" ht="45" hidden="1" x14ac:dyDescent="0.25">
      <c r="A230" s="43">
        <v>229</v>
      </c>
      <c r="B230" s="35" t="s">
        <v>470</v>
      </c>
      <c r="C230" s="52" t="str">
        <f>INDEX(Com_Scr!C:C,MATCH(Employee_Master!B:B,Com_Scr!B:B))</f>
        <v>IZWA FRUITS AND VEGETABLES.L.L.C - O.P.C</v>
      </c>
      <c r="D230" s="38">
        <v>784199493917191</v>
      </c>
      <c r="E230" s="55" t="s">
        <v>777</v>
      </c>
      <c r="F230" s="30">
        <v>119591475</v>
      </c>
      <c r="G230" s="29">
        <v>46331</v>
      </c>
      <c r="H230" s="36">
        <v>46371</v>
      </c>
      <c r="I230" s="26"/>
      <c r="J230" s="26"/>
      <c r="K230" s="26"/>
    </row>
    <row r="231" spans="1:11" ht="45" hidden="1" x14ac:dyDescent="0.25">
      <c r="A231" s="43">
        <v>230</v>
      </c>
      <c r="B231" s="35" t="s">
        <v>470</v>
      </c>
      <c r="C231" s="52" t="str">
        <f>INDEX(Com_Scr!C:C,MATCH(Employee_Master!B:B,Com_Scr!B:B))</f>
        <v>IZWA FRUITS AND VEGETABLES.L.L.C - O.P.C</v>
      </c>
      <c r="D231" s="38">
        <v>784197950907531</v>
      </c>
      <c r="E231" s="55" t="s">
        <v>778</v>
      </c>
      <c r="F231" s="30">
        <v>116779961</v>
      </c>
      <c r="G231" s="29">
        <v>46239</v>
      </c>
      <c r="H231" s="36">
        <v>46261</v>
      </c>
      <c r="I231" s="26"/>
      <c r="J231" s="26"/>
      <c r="K231" s="26"/>
    </row>
    <row r="232" spans="1:11" ht="45" hidden="1" x14ac:dyDescent="0.25">
      <c r="A232" s="43">
        <v>231</v>
      </c>
      <c r="B232" s="35" t="s">
        <v>470</v>
      </c>
      <c r="C232" s="52" t="str">
        <f>INDEX(Com_Scr!C:C,MATCH(Employee_Master!B:B,Com_Scr!B:B))</f>
        <v>IZWA FRUITS AND VEGETABLES.L.L.C - O.P.C</v>
      </c>
      <c r="D232" s="38">
        <v>784198442506402</v>
      </c>
      <c r="E232" s="55" t="s">
        <v>779</v>
      </c>
      <c r="F232" s="30">
        <v>124765978</v>
      </c>
      <c r="G232" s="29">
        <v>46426</v>
      </c>
      <c r="H232" s="36">
        <v>46464</v>
      </c>
      <c r="I232" s="26"/>
      <c r="J232" s="26"/>
      <c r="K232" s="26"/>
    </row>
    <row r="233" spans="1:11" ht="30" hidden="1" x14ac:dyDescent="0.25">
      <c r="A233" s="43">
        <v>232</v>
      </c>
      <c r="B233" s="35" t="s">
        <v>543</v>
      </c>
      <c r="C233" s="52" t="str">
        <f>INDEX(Com_Scr!C:C,MATCH(Employee_Master!B:B,Com_Scr!B:B))</f>
        <v>NORTH DESIGN -L.L.C- O.P.C</v>
      </c>
      <c r="D233" s="38" t="s">
        <v>335</v>
      </c>
      <c r="E233" s="55" t="s">
        <v>749</v>
      </c>
      <c r="F233" s="30">
        <v>135233560</v>
      </c>
      <c r="G233" s="27">
        <v>46219</v>
      </c>
      <c r="H233" s="36" t="s">
        <v>348</v>
      </c>
      <c r="I233" s="26"/>
      <c r="J233" s="26"/>
      <c r="K233" s="26"/>
    </row>
    <row r="234" spans="1:11" ht="45" hidden="1" x14ac:dyDescent="0.25">
      <c r="A234" s="43">
        <v>233</v>
      </c>
      <c r="B234" s="35" t="s">
        <v>543</v>
      </c>
      <c r="C234" s="52" t="str">
        <f>INDEX(Com_Scr!C:C,MATCH(Employee_Master!B:B,Com_Scr!B:B))</f>
        <v>NORTH DESIGN -L.L.C- O.P.C</v>
      </c>
      <c r="D234" s="38">
        <v>784198052968058</v>
      </c>
      <c r="E234" s="55" t="s">
        <v>750</v>
      </c>
      <c r="F234" s="30">
        <v>120956183</v>
      </c>
      <c r="G234" s="27">
        <v>46374</v>
      </c>
      <c r="H234" s="36">
        <v>46385</v>
      </c>
      <c r="I234" s="26"/>
      <c r="J234" s="26"/>
      <c r="K234" s="26"/>
    </row>
    <row r="235" spans="1:11" ht="30" hidden="1" x14ac:dyDescent="0.25">
      <c r="A235" s="43">
        <v>234</v>
      </c>
      <c r="B235" s="35" t="s">
        <v>543</v>
      </c>
      <c r="C235" s="52" t="str">
        <f>INDEX(Com_Scr!C:C,MATCH(Employee_Master!B:B,Com_Scr!B:B))</f>
        <v>NORTH DESIGN -L.L.C- O.P.C</v>
      </c>
      <c r="D235" s="38" t="s">
        <v>335</v>
      </c>
      <c r="E235" s="55" t="s">
        <v>751</v>
      </c>
      <c r="F235" s="30">
        <v>117803412</v>
      </c>
      <c r="G235" s="27">
        <v>46276</v>
      </c>
      <c r="H235" s="36" t="s">
        <v>348</v>
      </c>
      <c r="I235" s="26"/>
      <c r="J235" s="26"/>
      <c r="K235" s="26"/>
    </row>
    <row r="236" spans="1:11" ht="30" hidden="1" x14ac:dyDescent="0.25">
      <c r="A236" s="43">
        <v>235</v>
      </c>
      <c r="B236" s="35" t="s">
        <v>543</v>
      </c>
      <c r="C236" s="52" t="str">
        <f>INDEX(Com_Scr!C:C,MATCH(Employee_Master!B:B,Com_Scr!B:B))</f>
        <v>NORTH DESIGN -L.L.C- O.P.C</v>
      </c>
      <c r="D236" s="38">
        <v>784200449277860</v>
      </c>
      <c r="E236" s="55" t="s">
        <v>752</v>
      </c>
      <c r="F236" s="30">
        <v>133264552</v>
      </c>
      <c r="G236" s="27">
        <v>46664</v>
      </c>
      <c r="H236" s="36">
        <v>46689</v>
      </c>
      <c r="I236" s="26"/>
      <c r="J236" s="26"/>
      <c r="K236" s="26"/>
    </row>
    <row r="237" spans="1:11" ht="45" hidden="1" x14ac:dyDescent="0.25">
      <c r="A237" s="43">
        <v>236</v>
      </c>
      <c r="B237" s="35" t="s">
        <v>543</v>
      </c>
      <c r="C237" s="52" t="str">
        <f>INDEX(Com_Scr!C:C,MATCH(Employee_Master!B:B,Com_Scr!B:B))</f>
        <v>NORTH DESIGN -L.L.C- O.P.C</v>
      </c>
      <c r="D237" s="38">
        <v>784198028875470</v>
      </c>
      <c r="E237" s="55" t="s">
        <v>753</v>
      </c>
      <c r="F237" s="30">
        <v>124545433</v>
      </c>
      <c r="G237" s="27">
        <v>46431</v>
      </c>
      <c r="H237" s="36">
        <v>46443</v>
      </c>
      <c r="I237" s="26"/>
      <c r="J237" s="26"/>
      <c r="K237" s="26"/>
    </row>
    <row r="238" spans="1:11" ht="45" hidden="1" x14ac:dyDescent="0.25">
      <c r="A238" s="43">
        <v>237</v>
      </c>
      <c r="B238" s="35" t="s">
        <v>543</v>
      </c>
      <c r="C238" s="52" t="str">
        <f>INDEX(Com_Scr!C:C,MATCH(Employee_Master!B:B,Com_Scr!B:B))</f>
        <v>NORTH DESIGN -L.L.C- O.P.C</v>
      </c>
      <c r="D238" s="38">
        <v>784199724282241</v>
      </c>
      <c r="E238" s="55" t="s">
        <v>754</v>
      </c>
      <c r="F238" s="30">
        <v>129978595</v>
      </c>
      <c r="G238" s="27">
        <v>46586</v>
      </c>
      <c r="H238" s="36">
        <v>46606</v>
      </c>
      <c r="I238" s="26"/>
      <c r="J238" s="26"/>
      <c r="K238" s="26"/>
    </row>
    <row r="239" spans="1:11" ht="45" hidden="1" x14ac:dyDescent="0.25">
      <c r="A239" s="43">
        <v>238</v>
      </c>
      <c r="B239" s="57" t="s">
        <v>706</v>
      </c>
      <c r="C239" s="52" t="str">
        <f>INDEX(Com_Scr!C:C,MATCH(Employee_Master!B:B,Com_Scr!B:B))</f>
        <v>CHATTAGRAM GENERAL TRANSPORT -L.L.C -S.PC</v>
      </c>
      <c r="D239" s="38">
        <v>784197064207281</v>
      </c>
      <c r="E239" s="55" t="s">
        <v>718</v>
      </c>
      <c r="F239" s="30">
        <v>118563220</v>
      </c>
      <c r="G239" s="27">
        <v>46292</v>
      </c>
      <c r="H239" s="36">
        <v>46302</v>
      </c>
      <c r="I239" s="26"/>
      <c r="J239" s="26"/>
      <c r="K239" s="26"/>
    </row>
    <row r="240" spans="1:11" ht="45" hidden="1" x14ac:dyDescent="0.25">
      <c r="A240" s="43">
        <v>239</v>
      </c>
      <c r="B240" s="57" t="s">
        <v>706</v>
      </c>
      <c r="C240" s="52" t="str">
        <f>INDEX(Com_Scr!C:C,MATCH(Employee_Master!B:B,Com_Scr!B:B))</f>
        <v>CHATTAGRAM GENERAL TRANSPORT -L.L.C -S.PC</v>
      </c>
      <c r="D240" s="38">
        <v>784198131810263</v>
      </c>
      <c r="E240" s="55" t="s">
        <v>719</v>
      </c>
      <c r="F240" s="30">
        <v>119849511</v>
      </c>
      <c r="G240" s="27">
        <v>46292</v>
      </c>
      <c r="H240" s="36">
        <v>46311</v>
      </c>
      <c r="I240" s="26"/>
      <c r="J240" s="26"/>
      <c r="K240" s="26"/>
    </row>
    <row r="241" spans="1:11" ht="45" hidden="1" x14ac:dyDescent="0.25">
      <c r="A241" s="43">
        <v>240</v>
      </c>
      <c r="B241" s="57" t="s">
        <v>706</v>
      </c>
      <c r="C241" s="52" t="str">
        <f>INDEX(Com_Scr!C:C,MATCH(Employee_Master!B:B,Com_Scr!B:B))</f>
        <v>CHATTAGRAM GENERAL TRANSPORT -L.L.C -S.PC</v>
      </c>
      <c r="D241" s="38">
        <v>784197530218292</v>
      </c>
      <c r="E241" s="55" t="s">
        <v>720</v>
      </c>
      <c r="F241" s="30">
        <v>119712557</v>
      </c>
      <c r="G241" s="27">
        <v>46302</v>
      </c>
      <c r="H241" s="36">
        <v>46307</v>
      </c>
      <c r="I241" s="26"/>
      <c r="J241" s="26"/>
      <c r="K241" s="26"/>
    </row>
    <row r="242" spans="1:11" ht="45" hidden="1" x14ac:dyDescent="0.25">
      <c r="A242" s="43">
        <v>241</v>
      </c>
      <c r="B242" s="57" t="s">
        <v>706</v>
      </c>
      <c r="C242" s="52" t="str">
        <f>INDEX(Com_Scr!C:C,MATCH(Employee_Master!B:B,Com_Scr!B:B))</f>
        <v>CHATTAGRAM GENERAL TRANSPORT -L.L.C -S.PC</v>
      </c>
      <c r="D242" s="38">
        <v>784199240653651</v>
      </c>
      <c r="E242" s="55" t="s">
        <v>721</v>
      </c>
      <c r="F242" s="30">
        <v>129689208</v>
      </c>
      <c r="G242" s="27">
        <v>46602</v>
      </c>
      <c r="H242" s="36">
        <v>46612</v>
      </c>
      <c r="I242" s="26"/>
      <c r="J242" s="26"/>
      <c r="K242" s="26"/>
    </row>
    <row r="243" spans="1:11" ht="45" hidden="1" x14ac:dyDescent="0.25">
      <c r="A243" s="43">
        <v>242</v>
      </c>
      <c r="B243" s="57" t="s">
        <v>706</v>
      </c>
      <c r="C243" s="52" t="str">
        <f>INDEX(Com_Scr!C:C,MATCH(Employee_Master!B:B,Com_Scr!B:B))</f>
        <v>CHATTAGRAM GENERAL TRANSPORT -L.L.C -S.PC</v>
      </c>
      <c r="D243" s="38">
        <v>784197206852036</v>
      </c>
      <c r="E243" s="55" t="s">
        <v>722</v>
      </c>
      <c r="F243" s="30">
        <v>121190211</v>
      </c>
      <c r="G243" s="27">
        <v>46335</v>
      </c>
      <c r="H243" s="36">
        <v>46373</v>
      </c>
      <c r="I243" s="26"/>
      <c r="J243" s="26"/>
      <c r="K243" s="26"/>
    </row>
    <row r="244" spans="1:11" ht="45" hidden="1" x14ac:dyDescent="0.25">
      <c r="A244" s="43">
        <v>243</v>
      </c>
      <c r="B244" s="57" t="s">
        <v>706</v>
      </c>
      <c r="C244" s="52" t="str">
        <f>INDEX(Com_Scr!C:C,MATCH(Employee_Master!B:B,Com_Scr!B:B))</f>
        <v>CHATTAGRAM GENERAL TRANSPORT -L.L.C -S.PC</v>
      </c>
      <c r="D244" s="38">
        <v>784196558635213</v>
      </c>
      <c r="E244" s="55" t="s">
        <v>723</v>
      </c>
      <c r="F244" s="30">
        <v>120615704</v>
      </c>
      <c r="G244" s="27">
        <v>46309</v>
      </c>
      <c r="H244" s="36">
        <v>46354</v>
      </c>
      <c r="I244" s="26"/>
      <c r="J244" s="26"/>
      <c r="K244" s="26"/>
    </row>
    <row r="245" spans="1:11" ht="45" hidden="1" x14ac:dyDescent="0.25">
      <c r="A245" s="43">
        <v>244</v>
      </c>
      <c r="B245" s="57" t="s">
        <v>706</v>
      </c>
      <c r="C245" s="52" t="str">
        <f>INDEX(Com_Scr!C:C,MATCH(Employee_Master!B:B,Com_Scr!B:B))</f>
        <v>CHATTAGRAM GENERAL TRANSPORT -L.L.C -S.PC</v>
      </c>
      <c r="D245" s="38">
        <v>784199108694060</v>
      </c>
      <c r="E245" s="55" t="s">
        <v>724</v>
      </c>
      <c r="F245" s="30">
        <v>121386318</v>
      </c>
      <c r="G245" s="27">
        <v>46302</v>
      </c>
      <c r="H245" s="36">
        <v>46383</v>
      </c>
      <c r="I245" s="26"/>
      <c r="J245" s="26"/>
      <c r="K245" s="26"/>
    </row>
    <row r="246" spans="1:11" ht="45" hidden="1" x14ac:dyDescent="0.25">
      <c r="A246" s="43">
        <v>245</v>
      </c>
      <c r="B246" s="57" t="s">
        <v>706</v>
      </c>
      <c r="C246" s="52" t="str">
        <f>INDEX(Com_Scr!C:C,MATCH(Employee_Master!B:B,Com_Scr!B:B))</f>
        <v>CHATTAGRAM GENERAL TRANSPORT -L.L.C -S.PC</v>
      </c>
      <c r="D246" s="38">
        <v>784198298024070</v>
      </c>
      <c r="E246" s="55" t="s">
        <v>725</v>
      </c>
      <c r="F246" s="30">
        <v>131417420</v>
      </c>
      <c r="G246" s="27">
        <v>46621</v>
      </c>
      <c r="H246" s="36">
        <v>46646</v>
      </c>
      <c r="I246" s="26"/>
      <c r="J246" s="26"/>
      <c r="K246" s="26"/>
    </row>
    <row r="247" spans="1:11" ht="45" hidden="1" x14ac:dyDescent="0.25">
      <c r="A247" s="43">
        <v>246</v>
      </c>
      <c r="B247" s="57" t="s">
        <v>706</v>
      </c>
      <c r="C247" s="52" t="str">
        <f>INDEX(Com_Scr!C:C,MATCH(Employee_Master!B:B,Com_Scr!B:B))</f>
        <v>CHATTAGRAM GENERAL TRANSPORT -L.L.C -S.PC</v>
      </c>
      <c r="D247" s="38">
        <v>784197602964930</v>
      </c>
      <c r="E247" s="55" t="s">
        <v>726</v>
      </c>
      <c r="F247" s="30">
        <v>123776896</v>
      </c>
      <c r="G247" s="27">
        <v>46415</v>
      </c>
      <c r="H247" s="36">
        <v>46421</v>
      </c>
      <c r="I247" s="26"/>
      <c r="J247" s="26"/>
      <c r="K247" s="26"/>
    </row>
    <row r="248" spans="1:11" ht="45" hidden="1" x14ac:dyDescent="0.25">
      <c r="A248" s="43">
        <v>247</v>
      </c>
      <c r="B248" s="57" t="s">
        <v>706</v>
      </c>
      <c r="C248" s="52" t="str">
        <f>INDEX(Com_Scr!C:C,MATCH(Employee_Master!B:B,Com_Scr!B:B))</f>
        <v>CHATTAGRAM GENERAL TRANSPORT -L.L.C -S.PC</v>
      </c>
      <c r="D248" s="38">
        <v>784197887085948</v>
      </c>
      <c r="E248" s="55" t="s">
        <v>727</v>
      </c>
      <c r="F248" s="30">
        <v>120150897</v>
      </c>
      <c r="G248" s="27">
        <v>46335</v>
      </c>
      <c r="H248" s="36">
        <v>46347</v>
      </c>
      <c r="I248" s="26"/>
      <c r="J248" s="26"/>
      <c r="K248" s="26"/>
    </row>
    <row r="249" spans="1:11" ht="45" hidden="1" x14ac:dyDescent="0.25">
      <c r="A249" s="43">
        <v>248</v>
      </c>
      <c r="B249" s="57" t="s">
        <v>706</v>
      </c>
      <c r="C249" s="52" t="str">
        <f>INDEX(Com_Scr!C:C,MATCH(Employee_Master!B:B,Com_Scr!B:B))</f>
        <v>CHATTAGRAM GENERAL TRANSPORT -L.L.C -S.PC</v>
      </c>
      <c r="D249" s="38">
        <v>784198849587641</v>
      </c>
      <c r="E249" s="55" t="s">
        <v>728</v>
      </c>
      <c r="F249" s="30">
        <v>122045163</v>
      </c>
      <c r="G249" s="27">
        <v>46341</v>
      </c>
      <c r="H249" s="36">
        <v>46373</v>
      </c>
      <c r="I249" s="26"/>
      <c r="J249" s="26"/>
      <c r="K249" s="26"/>
    </row>
    <row r="250" spans="1:11" ht="45" hidden="1" x14ac:dyDescent="0.25">
      <c r="A250" s="43">
        <v>249</v>
      </c>
      <c r="B250" s="57" t="s">
        <v>706</v>
      </c>
      <c r="C250" s="52" t="str">
        <f>INDEX(Com_Scr!C:C,MATCH(Employee_Master!B:B,Com_Scr!B:B))</f>
        <v>CHATTAGRAM GENERAL TRANSPORT -L.L.C -S.PC</v>
      </c>
      <c r="D250" s="38">
        <v>784198139809812</v>
      </c>
      <c r="E250" s="55" t="s">
        <v>729</v>
      </c>
      <c r="F250" s="30">
        <v>125216470</v>
      </c>
      <c r="G250" s="27">
        <v>46450</v>
      </c>
      <c r="H250" s="36">
        <v>46463</v>
      </c>
      <c r="I250" s="26"/>
      <c r="J250" s="26"/>
      <c r="K250" s="26"/>
    </row>
    <row r="251" spans="1:11" ht="45" hidden="1" x14ac:dyDescent="0.25">
      <c r="A251" s="43">
        <v>250</v>
      </c>
      <c r="B251" s="35" t="s">
        <v>384</v>
      </c>
      <c r="C251" s="52" t="str">
        <f>INDEX(Com_Scr!C:C,MATCH(Employee_Master!B:B,Com_Scr!B:B))</f>
        <v>XOFOZ  INFORMATION TECHNOLOGY -L.L.C. SPC</v>
      </c>
      <c r="D251" s="38">
        <v>784199884345549</v>
      </c>
      <c r="E251" s="53" t="s">
        <v>818</v>
      </c>
      <c r="F251" s="26">
        <v>126780368</v>
      </c>
      <c r="G251" s="29">
        <v>46536</v>
      </c>
      <c r="H251" s="36">
        <v>46518</v>
      </c>
      <c r="I251" s="26"/>
      <c r="J251" s="26"/>
      <c r="K251" s="26"/>
    </row>
    <row r="252" spans="1:11" ht="45" hidden="1" x14ac:dyDescent="0.25">
      <c r="A252" s="43">
        <v>251</v>
      </c>
      <c r="B252" s="35" t="s">
        <v>384</v>
      </c>
      <c r="C252" s="52" t="str">
        <f>INDEX(Com_Scr!C:C,MATCH(Employee_Master!B:B,Com_Scr!B:B))</f>
        <v>XOFOZ  INFORMATION TECHNOLOGY -L.L.C. SPC</v>
      </c>
      <c r="D252" s="38">
        <v>784199340630484</v>
      </c>
      <c r="E252" s="55" t="s">
        <v>819</v>
      </c>
      <c r="F252" s="30">
        <v>130336931</v>
      </c>
      <c r="G252" s="29">
        <v>46631</v>
      </c>
      <c r="H252" s="36">
        <v>46221</v>
      </c>
      <c r="I252" s="26"/>
      <c r="J252" s="26"/>
      <c r="K252" s="26"/>
    </row>
    <row r="253" spans="1:11" ht="45" hidden="1" x14ac:dyDescent="0.25">
      <c r="A253" s="43">
        <v>252</v>
      </c>
      <c r="B253" s="35" t="s">
        <v>384</v>
      </c>
      <c r="C253" s="52" t="str">
        <f>INDEX(Com_Scr!C:C,MATCH(Employee_Master!B:B,Com_Scr!B:B))</f>
        <v>XOFOZ  INFORMATION TECHNOLOGY -L.L.C. SPC</v>
      </c>
      <c r="D253" s="38">
        <v>784197725370650</v>
      </c>
      <c r="E253" s="55" t="s">
        <v>820</v>
      </c>
      <c r="F253" s="26">
        <v>125969325</v>
      </c>
      <c r="G253" s="29">
        <v>46513</v>
      </c>
      <c r="H253" s="36">
        <v>46518</v>
      </c>
      <c r="I253" s="26"/>
      <c r="J253" s="26"/>
      <c r="K253" s="26"/>
    </row>
    <row r="254" spans="1:11" ht="45" hidden="1" x14ac:dyDescent="0.25">
      <c r="A254" s="43">
        <v>253</v>
      </c>
      <c r="B254" s="35" t="s">
        <v>384</v>
      </c>
      <c r="C254" s="52" t="str">
        <f>INDEX(Com_Scr!C:C,MATCH(Employee_Master!B:B,Com_Scr!B:B))</f>
        <v>XOFOZ  INFORMATION TECHNOLOGY -L.L.C. SPC</v>
      </c>
      <c r="D254" s="38">
        <v>784200012968069</v>
      </c>
      <c r="E254" s="55" t="s">
        <v>821</v>
      </c>
      <c r="F254" s="26">
        <v>116709814</v>
      </c>
      <c r="G254" s="29">
        <v>46235</v>
      </c>
      <c r="H254" s="36">
        <v>46633</v>
      </c>
      <c r="I254" s="26"/>
      <c r="J254" s="26"/>
      <c r="K254" s="26"/>
    </row>
    <row r="255" spans="1:11" ht="45" hidden="1" x14ac:dyDescent="0.25">
      <c r="A255" s="43">
        <v>254</v>
      </c>
      <c r="B255" s="35" t="s">
        <v>384</v>
      </c>
      <c r="C255" s="52" t="str">
        <f>INDEX(Com_Scr!C:C,MATCH(Employee_Master!B:B,Com_Scr!B:B))</f>
        <v>XOFOZ  INFORMATION TECHNOLOGY -L.L.C. SPC</v>
      </c>
      <c r="D255" s="38">
        <v>784199517715704</v>
      </c>
      <c r="E255" s="55" t="s">
        <v>822</v>
      </c>
      <c r="F255" s="26">
        <v>124066800</v>
      </c>
      <c r="G255" s="29">
        <v>46457</v>
      </c>
      <c r="H255" s="36">
        <v>46550</v>
      </c>
      <c r="I255" s="26"/>
      <c r="J255" s="26"/>
      <c r="K255" s="26"/>
    </row>
    <row r="256" spans="1:11" ht="45" hidden="1" x14ac:dyDescent="0.25">
      <c r="A256" s="43">
        <v>255</v>
      </c>
      <c r="B256" s="35" t="s">
        <v>384</v>
      </c>
      <c r="C256" s="52" t="str">
        <f>INDEX(Com_Scr!C:C,MATCH(Employee_Master!B:B,Com_Scr!B:B))</f>
        <v>XOFOZ  INFORMATION TECHNOLOGY -L.L.C. SPC</v>
      </c>
      <c r="D256" s="38">
        <v>784199761636218</v>
      </c>
      <c r="E256" s="55" t="s">
        <v>823</v>
      </c>
      <c r="F256" s="26">
        <v>129644984</v>
      </c>
      <c r="G256" s="29">
        <v>46612</v>
      </c>
      <c r="H256" s="36">
        <v>46465</v>
      </c>
      <c r="I256" s="26"/>
      <c r="J256" s="26"/>
      <c r="K256" s="26"/>
    </row>
    <row r="257" spans="1:11" ht="45" hidden="1" x14ac:dyDescent="0.25">
      <c r="A257" s="43">
        <v>256</v>
      </c>
      <c r="B257" s="35" t="s">
        <v>384</v>
      </c>
      <c r="C257" s="52" t="str">
        <f>INDEX(Com_Scr!C:C,MATCH(Employee_Master!B:B,Com_Scr!B:B))</f>
        <v>XOFOZ  INFORMATION TECHNOLOGY -L.L.C. SPC</v>
      </c>
      <c r="D257" s="38">
        <v>784200155504341</v>
      </c>
      <c r="E257" s="55" t="s">
        <v>824</v>
      </c>
      <c r="F257" s="26">
        <v>135787160</v>
      </c>
      <c r="G257" s="29">
        <v>46813</v>
      </c>
      <c r="H257" s="36">
        <v>46625</v>
      </c>
      <c r="I257" s="26"/>
      <c r="J257" s="26"/>
      <c r="K257" s="26"/>
    </row>
    <row r="258" spans="1:11" ht="45" hidden="1" x14ac:dyDescent="0.25">
      <c r="A258" s="43">
        <v>257</v>
      </c>
      <c r="B258" s="35" t="s">
        <v>384</v>
      </c>
      <c r="C258" s="52" t="str">
        <f>INDEX(Com_Scr!C:C,MATCH(Employee_Master!B:B,Com_Scr!B:B))</f>
        <v>XOFOZ  INFORMATION TECHNOLOGY -L.L.C. SPC</v>
      </c>
      <c r="D258" s="38" t="s">
        <v>969</v>
      </c>
      <c r="E258" s="55" t="s">
        <v>970</v>
      </c>
      <c r="F258" s="26">
        <v>124935657</v>
      </c>
      <c r="G258" s="29">
        <v>46480</v>
      </c>
      <c r="H258" s="36" t="s">
        <v>717</v>
      </c>
      <c r="I258" s="26"/>
      <c r="J258" s="26"/>
      <c r="K258" s="26"/>
    </row>
    <row r="259" spans="1:11" ht="45" hidden="1" x14ac:dyDescent="0.25">
      <c r="A259" s="43">
        <v>258</v>
      </c>
      <c r="B259" s="35" t="s">
        <v>384</v>
      </c>
      <c r="C259" s="52" t="str">
        <f>INDEX(Com_Scr!C:C,MATCH(Employee_Master!B:B,Com_Scr!B:B))</f>
        <v>XOFOZ  INFORMATION TECHNOLOGY -L.L.C. SPC</v>
      </c>
      <c r="D259" s="38" t="s">
        <v>969</v>
      </c>
      <c r="E259" s="55" t="s">
        <v>825</v>
      </c>
      <c r="F259" s="26">
        <v>116640996</v>
      </c>
      <c r="G259" s="29">
        <v>46233</v>
      </c>
      <c r="H259" s="36" t="s">
        <v>717</v>
      </c>
      <c r="I259" s="26"/>
      <c r="J259" s="26"/>
      <c r="K259" s="26"/>
    </row>
    <row r="260" spans="1:11" ht="45" hidden="1" x14ac:dyDescent="0.25">
      <c r="A260" s="43">
        <v>259</v>
      </c>
      <c r="B260" s="35" t="s">
        <v>384</v>
      </c>
      <c r="C260" s="52" t="str">
        <f>INDEX(Com_Scr!C:C,MATCH(Employee_Master!B:B,Com_Scr!B:B))</f>
        <v>XOFOZ  INFORMATION TECHNOLOGY -L.L.C. SPC</v>
      </c>
      <c r="D260" s="38" t="s">
        <v>969</v>
      </c>
      <c r="E260" s="55" t="s">
        <v>826</v>
      </c>
      <c r="F260" s="26">
        <v>119305210</v>
      </c>
      <c r="G260" s="29">
        <v>46322</v>
      </c>
      <c r="H260" s="36" t="s">
        <v>717</v>
      </c>
      <c r="I260" s="26"/>
      <c r="J260" s="26"/>
      <c r="K260" s="26"/>
    </row>
    <row r="261" spans="1:11" ht="45" hidden="1" x14ac:dyDescent="0.25">
      <c r="A261" s="43">
        <v>260</v>
      </c>
      <c r="B261" s="35" t="s">
        <v>384</v>
      </c>
      <c r="C261" s="52" t="str">
        <f>INDEX(Com_Scr!C:C,MATCH(Employee_Master!B:B,Com_Scr!B:B))</f>
        <v>XOFOZ  INFORMATION TECHNOLOGY -L.L.C. SPC</v>
      </c>
      <c r="D261" s="38">
        <v>784199731401636</v>
      </c>
      <c r="E261" s="55" t="s">
        <v>827</v>
      </c>
      <c r="F261" s="26">
        <v>125825883</v>
      </c>
      <c r="G261" s="29">
        <v>46517</v>
      </c>
      <c r="H261" s="36">
        <v>46238</v>
      </c>
      <c r="I261" s="26"/>
      <c r="J261" s="26"/>
      <c r="K261" s="26"/>
    </row>
    <row r="262" spans="1:11" ht="45" hidden="1" x14ac:dyDescent="0.25">
      <c r="A262" s="43">
        <v>261</v>
      </c>
      <c r="B262" s="35" t="s">
        <v>384</v>
      </c>
      <c r="C262" s="52" t="str">
        <f>INDEX(Com_Scr!C:C,MATCH(Employee_Master!B:B,Com_Scr!B:B))</f>
        <v>XOFOZ  INFORMATION TECHNOLOGY -L.L.C. SPC</v>
      </c>
      <c r="D262" s="38">
        <v>784198592492841</v>
      </c>
      <c r="E262" s="55" t="s">
        <v>828</v>
      </c>
      <c r="F262" s="26">
        <v>115756197</v>
      </c>
      <c r="G262" s="29">
        <v>46178</v>
      </c>
      <c r="H262" s="36">
        <v>46204</v>
      </c>
      <c r="I262" s="26"/>
      <c r="J262" s="26"/>
      <c r="K262" s="26"/>
    </row>
    <row r="263" spans="1:11" ht="45" hidden="1" x14ac:dyDescent="0.25">
      <c r="A263" s="43">
        <v>262</v>
      </c>
      <c r="B263" s="35" t="s">
        <v>384</v>
      </c>
      <c r="C263" s="52" t="str">
        <f>INDEX(Com_Scr!C:C,MATCH(Employee_Master!B:B,Com_Scr!B:B))</f>
        <v>XOFOZ  INFORMATION TECHNOLOGY -L.L.C. SPC</v>
      </c>
      <c r="D263" s="38">
        <v>784198381846900</v>
      </c>
      <c r="E263" s="55" t="s">
        <v>829</v>
      </c>
      <c r="F263" s="26">
        <v>115119022</v>
      </c>
      <c r="G263" s="29">
        <v>46164</v>
      </c>
      <c r="H263" s="36">
        <v>46183</v>
      </c>
      <c r="I263" s="26"/>
      <c r="J263" s="26"/>
      <c r="K263" s="26"/>
    </row>
    <row r="264" spans="1:11" ht="45" hidden="1" x14ac:dyDescent="0.25">
      <c r="A264" s="43">
        <v>263</v>
      </c>
      <c r="B264" s="35" t="s">
        <v>384</v>
      </c>
      <c r="C264" s="52" t="str">
        <f>INDEX(Com_Scr!C:C,MATCH(Employee_Master!B:B,Com_Scr!B:B))</f>
        <v>XOFOZ  INFORMATION TECHNOLOGY -L.L.C. SPC</v>
      </c>
      <c r="D264" s="38">
        <v>784197198549756</v>
      </c>
      <c r="E264" s="55" t="s">
        <v>830</v>
      </c>
      <c r="F264" s="26">
        <v>128289793</v>
      </c>
      <c r="G264" s="29">
        <v>46557</v>
      </c>
      <c r="H264" s="36">
        <v>46570</v>
      </c>
      <c r="I264" s="26"/>
      <c r="J264" s="26"/>
      <c r="K264" s="26"/>
    </row>
    <row r="265" spans="1:11" ht="45" hidden="1" x14ac:dyDescent="0.25">
      <c r="A265" s="43">
        <v>264</v>
      </c>
      <c r="B265" s="35" t="s">
        <v>384</v>
      </c>
      <c r="C265" s="52" t="str">
        <f>INDEX(Com_Scr!C:C,MATCH(Employee_Master!B:B,Com_Scr!B:B))</f>
        <v>XOFOZ  INFORMATION TECHNOLOGY -L.L.C. SPC</v>
      </c>
      <c r="D265" s="38">
        <v>784198640383069</v>
      </c>
      <c r="E265" s="55" t="s">
        <v>831</v>
      </c>
      <c r="F265" s="26">
        <v>137190978</v>
      </c>
      <c r="G265" s="29">
        <v>46842</v>
      </c>
      <c r="H265" s="36">
        <v>46830</v>
      </c>
      <c r="I265" s="26"/>
      <c r="J265" s="26"/>
      <c r="K265" s="26"/>
    </row>
    <row r="266" spans="1:11" ht="45" hidden="1" x14ac:dyDescent="0.25">
      <c r="A266" s="43">
        <v>265</v>
      </c>
      <c r="B266" s="35" t="s">
        <v>384</v>
      </c>
      <c r="C266" s="52" t="str">
        <f>INDEX(Com_Scr!C:C,MATCH(Employee_Master!B:B,Com_Scr!B:B))</f>
        <v>XOFOZ  INFORMATION TECHNOLOGY -L.L.C. SPC</v>
      </c>
      <c r="D266" s="38">
        <v>784199392082477</v>
      </c>
      <c r="E266" s="55" t="s">
        <v>832</v>
      </c>
      <c r="F266" s="26">
        <v>137678701</v>
      </c>
      <c r="G266" s="29">
        <v>46891</v>
      </c>
      <c r="H266" s="36">
        <v>46850</v>
      </c>
      <c r="I266" s="26"/>
      <c r="J266" s="26"/>
      <c r="K266" s="26"/>
    </row>
    <row r="267" spans="1:11" ht="60" hidden="1" x14ac:dyDescent="0.25">
      <c r="A267" s="43">
        <v>266</v>
      </c>
      <c r="B267" s="35" t="s">
        <v>372</v>
      </c>
      <c r="C267" s="52" t="str">
        <f>INDEX(Com_Scr!C:C,MATCH(Employee_Master!B:B,Com_Scr!B:B))</f>
        <v>AKCELLENCE TRANSPORT PASSENGER BY BUS - L.L.C</v>
      </c>
      <c r="D267" s="45">
        <v>784198247216272</v>
      </c>
      <c r="E267" s="55" t="s">
        <v>833</v>
      </c>
      <c r="F267" s="30">
        <v>136104240</v>
      </c>
      <c r="G267" s="29">
        <v>46794</v>
      </c>
      <c r="H267" s="47">
        <v>46798</v>
      </c>
      <c r="I267" s="26"/>
      <c r="J267" s="26"/>
      <c r="K267" s="26"/>
    </row>
    <row r="268" spans="1:11" ht="60" hidden="1" x14ac:dyDescent="0.25">
      <c r="A268" s="43">
        <v>267</v>
      </c>
      <c r="B268" s="35" t="s">
        <v>372</v>
      </c>
      <c r="C268" s="52" t="str">
        <f>INDEX(Com_Scr!C:C,MATCH(Employee_Master!B:B,Com_Scr!B:B))</f>
        <v>AKCELLENCE TRANSPORT PASSENGER BY BUS - L.L.C</v>
      </c>
      <c r="D268" s="45">
        <v>784199154025060</v>
      </c>
      <c r="E268" s="55" t="s">
        <v>834</v>
      </c>
      <c r="F268" s="30">
        <v>124610722</v>
      </c>
      <c r="G268" s="29">
        <v>46471</v>
      </c>
      <c r="H268" s="47">
        <v>46486</v>
      </c>
      <c r="I268" s="26"/>
      <c r="J268" s="26"/>
      <c r="K268" s="26"/>
    </row>
    <row r="269" spans="1:11" ht="60" hidden="1" x14ac:dyDescent="0.25">
      <c r="A269" s="43">
        <v>268</v>
      </c>
      <c r="B269" s="35" t="s">
        <v>372</v>
      </c>
      <c r="C269" s="52" t="str">
        <f>INDEX(Com_Scr!C:C,MATCH(Employee_Master!B:B,Com_Scr!B:B))</f>
        <v>AKCELLENCE TRANSPORT PASSENGER BY BUS - L.L.C</v>
      </c>
      <c r="D269" s="45">
        <v>784199016380208</v>
      </c>
      <c r="E269" s="55" t="s">
        <v>835</v>
      </c>
      <c r="F269" s="30">
        <v>132778790</v>
      </c>
      <c r="G269" s="29">
        <v>46704</v>
      </c>
      <c r="H269" s="47">
        <v>46707</v>
      </c>
      <c r="I269" s="26"/>
      <c r="J269" s="26"/>
      <c r="K269" s="26"/>
    </row>
    <row r="270" spans="1:11" ht="60" hidden="1" x14ac:dyDescent="0.25">
      <c r="A270" s="43">
        <v>269</v>
      </c>
      <c r="B270" s="35" t="s">
        <v>372</v>
      </c>
      <c r="C270" s="52" t="str">
        <f>INDEX(Com_Scr!C:C,MATCH(Employee_Master!B:B,Com_Scr!B:B))</f>
        <v>AKCELLENCE TRANSPORT PASSENGER BY BUS - L.L.C</v>
      </c>
      <c r="D270" s="45">
        <v>784199070394962</v>
      </c>
      <c r="E270" s="55" t="s">
        <v>836</v>
      </c>
      <c r="F270" s="30">
        <v>121422014</v>
      </c>
      <c r="G270" s="29">
        <v>46386</v>
      </c>
      <c r="H270" s="47">
        <v>46400</v>
      </c>
      <c r="I270" s="26"/>
      <c r="J270" s="26"/>
      <c r="K270" s="26"/>
    </row>
    <row r="271" spans="1:11" ht="60" hidden="1" x14ac:dyDescent="0.25">
      <c r="A271" s="43">
        <v>270</v>
      </c>
      <c r="B271" s="35" t="s">
        <v>372</v>
      </c>
      <c r="C271" s="52" t="str">
        <f>INDEX(Com_Scr!C:C,MATCH(Employee_Master!B:B,Com_Scr!B:B))</f>
        <v>AKCELLENCE TRANSPORT PASSENGER BY BUS - L.L.C</v>
      </c>
      <c r="D271" s="45">
        <v>784198669707584</v>
      </c>
      <c r="E271" s="55" t="s">
        <v>837</v>
      </c>
      <c r="F271" s="30">
        <v>132778789</v>
      </c>
      <c r="G271" s="29">
        <v>46704</v>
      </c>
      <c r="H271" s="47">
        <v>46707</v>
      </c>
      <c r="I271" s="26"/>
      <c r="J271" s="26"/>
      <c r="K271" s="26"/>
    </row>
    <row r="272" spans="1:11" ht="60" hidden="1" x14ac:dyDescent="0.25">
      <c r="A272" s="43">
        <v>271</v>
      </c>
      <c r="B272" s="35" t="s">
        <v>372</v>
      </c>
      <c r="C272" s="52" t="str">
        <f>INDEX(Com_Scr!C:C,MATCH(Employee_Master!B:B,Com_Scr!B:B))</f>
        <v>AKCELLENCE TRANSPORT PASSENGER BY BUS - L.L.C</v>
      </c>
      <c r="D272" s="45">
        <v>784198998592061</v>
      </c>
      <c r="E272" s="55" t="s">
        <v>838</v>
      </c>
      <c r="F272" s="30">
        <v>132779042</v>
      </c>
      <c r="G272" s="29">
        <v>46704</v>
      </c>
      <c r="H272" s="47">
        <v>46707</v>
      </c>
      <c r="I272" s="26"/>
      <c r="J272" s="26"/>
      <c r="K272" s="26"/>
    </row>
    <row r="273" spans="1:18" ht="30" hidden="1" x14ac:dyDescent="0.25">
      <c r="A273" s="43">
        <v>272</v>
      </c>
      <c r="B273" s="35" t="s">
        <v>368</v>
      </c>
      <c r="C273" s="52" t="str">
        <f>INDEX(Com_Scr!C:C,MATCH(Employee_Master!B:B,Com_Scr!B:B))</f>
        <v>EURO ARAB TOURISM - L.L.C - O.P.C</v>
      </c>
      <c r="D273" s="38">
        <v>784199129721983</v>
      </c>
      <c r="E273" s="55" t="s">
        <v>839</v>
      </c>
      <c r="F273" s="30">
        <v>128716458</v>
      </c>
      <c r="G273" s="29">
        <v>46585</v>
      </c>
      <c r="H273" s="36">
        <v>46588</v>
      </c>
      <c r="I273" s="26"/>
      <c r="J273" s="26"/>
      <c r="K273" s="26"/>
    </row>
    <row r="274" spans="1:18" ht="30" hidden="1" x14ac:dyDescent="0.25">
      <c r="A274" s="43">
        <v>273</v>
      </c>
      <c r="B274" s="35" t="s">
        <v>368</v>
      </c>
      <c r="C274" s="52" t="str">
        <f>INDEX(Com_Scr!C:C,MATCH(Employee_Master!B:B,Com_Scr!B:B))</f>
        <v>EURO ARAB TOURISM - L.L.C - O.P.C</v>
      </c>
      <c r="D274" s="38">
        <v>784198140213988</v>
      </c>
      <c r="E274" s="55" t="s">
        <v>840</v>
      </c>
      <c r="F274" s="30">
        <v>122682507</v>
      </c>
      <c r="G274" s="29">
        <v>46132</v>
      </c>
      <c r="H274" s="36">
        <v>46135</v>
      </c>
      <c r="I274" s="26"/>
      <c r="J274" s="26"/>
      <c r="K274" s="26"/>
    </row>
    <row r="275" spans="1:18" ht="30" hidden="1" x14ac:dyDescent="0.25">
      <c r="A275" s="43">
        <v>274</v>
      </c>
      <c r="B275" s="35" t="s">
        <v>368</v>
      </c>
      <c r="C275" s="52" t="str">
        <f>INDEX(Com_Scr!C:C,MATCH(Employee_Master!B:B,Com_Scr!B:B))</f>
        <v>EURO ARAB TOURISM - L.L.C - O.P.C</v>
      </c>
      <c r="D275" s="38">
        <v>784197070697905</v>
      </c>
      <c r="E275" s="55" t="s">
        <v>841</v>
      </c>
      <c r="F275" s="30">
        <v>114268184</v>
      </c>
      <c r="G275" s="29">
        <v>46150</v>
      </c>
      <c r="H275" s="36">
        <v>46155</v>
      </c>
      <c r="I275" s="26"/>
      <c r="J275" s="26"/>
      <c r="K275" s="26"/>
    </row>
    <row r="276" spans="1:18" ht="45" hidden="1" x14ac:dyDescent="0.25">
      <c r="A276" s="43">
        <v>275</v>
      </c>
      <c r="B276" s="35" t="s">
        <v>368</v>
      </c>
      <c r="C276" s="52" t="str">
        <f>INDEX(Com_Scr!C:C,MATCH(Employee_Master!B:B,Com_Scr!B:B))</f>
        <v>EURO ARAB TOURISM - L.L.C - O.P.C</v>
      </c>
      <c r="D276" s="38">
        <v>784198793146964</v>
      </c>
      <c r="E276" s="55" t="s">
        <v>842</v>
      </c>
      <c r="F276" s="30">
        <v>114850615</v>
      </c>
      <c r="G276" s="29">
        <v>46171</v>
      </c>
      <c r="H276" s="36">
        <v>46192</v>
      </c>
      <c r="I276" s="26"/>
      <c r="J276" s="26"/>
      <c r="K276" s="26"/>
    </row>
    <row r="277" spans="1:18" ht="30" hidden="1" x14ac:dyDescent="0.25">
      <c r="A277" s="43">
        <v>276</v>
      </c>
      <c r="B277" s="35" t="s">
        <v>368</v>
      </c>
      <c r="C277" s="52" t="str">
        <f>INDEX(Com_Scr!C:C,MATCH(Employee_Master!B:B,Com_Scr!B:B))</f>
        <v>EURO ARAB TOURISM - L.L.C - O.P.C</v>
      </c>
      <c r="D277" s="38">
        <v>784197902814207</v>
      </c>
      <c r="E277" s="55" t="s">
        <v>843</v>
      </c>
      <c r="F277" s="30">
        <v>132498046</v>
      </c>
      <c r="G277" s="29">
        <v>46609</v>
      </c>
      <c r="H277" s="36">
        <v>46684</v>
      </c>
      <c r="I277" s="26"/>
      <c r="J277" s="26"/>
      <c r="K277" s="26"/>
    </row>
    <row r="278" spans="1:18" ht="30" hidden="1" x14ac:dyDescent="0.25">
      <c r="A278" s="43">
        <v>277</v>
      </c>
      <c r="B278" s="35" t="s">
        <v>368</v>
      </c>
      <c r="C278" s="52" t="str">
        <f>INDEX(Com_Scr!C:C,MATCH(Employee_Master!B:B,Com_Scr!B:B))</f>
        <v>EURO ARAB TOURISM - L.L.C - O.P.C</v>
      </c>
      <c r="D278" s="38">
        <v>784198554103840</v>
      </c>
      <c r="E278" s="55" t="s">
        <v>844</v>
      </c>
      <c r="F278" s="30">
        <v>135399129</v>
      </c>
      <c r="G278" s="29">
        <v>46748</v>
      </c>
      <c r="H278" s="36">
        <v>46766</v>
      </c>
      <c r="I278" s="26"/>
      <c r="J278" s="26"/>
      <c r="K278" s="26"/>
    </row>
    <row r="279" spans="1:18" ht="30" hidden="1" x14ac:dyDescent="0.25">
      <c r="A279" s="43">
        <v>278</v>
      </c>
      <c r="B279" s="35" t="s">
        <v>368</v>
      </c>
      <c r="C279" s="52" t="str">
        <f>INDEX(Com_Scr!C:C,MATCH(Employee_Master!B:B,Com_Scr!B:B))</f>
        <v>EURO ARAB TOURISM - L.L.C - O.P.C</v>
      </c>
      <c r="D279" s="38">
        <v>784198206583506</v>
      </c>
      <c r="E279" s="55" t="s">
        <v>845</v>
      </c>
      <c r="F279" s="30">
        <v>135461321</v>
      </c>
      <c r="G279" s="29">
        <v>46747</v>
      </c>
      <c r="H279" s="36">
        <v>46765</v>
      </c>
      <c r="I279" s="26"/>
      <c r="J279" s="26"/>
      <c r="K279" s="26"/>
    </row>
    <row r="280" spans="1:18" ht="45" hidden="1" x14ac:dyDescent="0.25">
      <c r="A280" s="43">
        <v>279</v>
      </c>
      <c r="B280" s="35" t="s">
        <v>368</v>
      </c>
      <c r="C280" s="52" t="str">
        <f>INDEX(Com_Scr!C:C,MATCH(Employee_Master!B:B,Com_Scr!B:B))</f>
        <v>EURO ARAB TOURISM - L.L.C - O.P.C</v>
      </c>
      <c r="D280" s="38">
        <v>784198616163725</v>
      </c>
      <c r="E280" s="55" t="s">
        <v>846</v>
      </c>
      <c r="F280" s="30">
        <v>135290464</v>
      </c>
      <c r="G280" s="29">
        <v>46772</v>
      </c>
      <c r="H280" s="36">
        <v>46765</v>
      </c>
      <c r="I280" s="26"/>
      <c r="J280" s="26"/>
      <c r="K280" s="26"/>
    </row>
    <row r="281" spans="1:18" ht="30" hidden="1" x14ac:dyDescent="0.25">
      <c r="A281" s="43">
        <v>280</v>
      </c>
      <c r="B281" s="35" t="s">
        <v>368</v>
      </c>
      <c r="C281" s="52" t="str">
        <f>INDEX(Com_Scr!C:C,MATCH(Employee_Master!B:B,Com_Scr!B:B))</f>
        <v>EURO ARAB TOURISM - L.L.C - O.P.C</v>
      </c>
      <c r="D281" s="38">
        <v>784197105061978</v>
      </c>
      <c r="E281" s="55" t="s">
        <v>847</v>
      </c>
      <c r="F281" s="30">
        <v>114146051</v>
      </c>
      <c r="G281" s="29">
        <v>46111</v>
      </c>
      <c r="H281" s="36">
        <v>46118</v>
      </c>
      <c r="I281" s="26"/>
      <c r="J281" s="26"/>
      <c r="K281" s="26"/>
    </row>
    <row r="282" spans="1:18" ht="45" hidden="1" x14ac:dyDescent="0.25">
      <c r="A282" s="43">
        <v>281</v>
      </c>
      <c r="B282" s="35" t="s">
        <v>368</v>
      </c>
      <c r="C282" s="52" t="str">
        <f>INDEX(Com_Scr!C:C,MATCH(Employee_Master!B:B,Com_Scr!B:B))</f>
        <v>EURO ARAB TOURISM - L.L.C - O.P.C</v>
      </c>
      <c r="D282" s="38">
        <v>784197248571792</v>
      </c>
      <c r="E282" s="55" t="s">
        <v>848</v>
      </c>
      <c r="F282" s="30">
        <v>132362411</v>
      </c>
      <c r="G282" s="29">
        <v>46680</v>
      </c>
      <c r="H282" s="36">
        <v>46689</v>
      </c>
      <c r="I282" s="26"/>
      <c r="J282" s="26"/>
      <c r="K282" s="26"/>
    </row>
    <row r="283" spans="1:18" ht="45" hidden="1" x14ac:dyDescent="0.25">
      <c r="A283" s="43">
        <v>282</v>
      </c>
      <c r="B283" s="35" t="s">
        <v>368</v>
      </c>
      <c r="C283" s="52" t="str">
        <f>INDEX(Com_Scr!C:C,MATCH(Employee_Master!B:B,Com_Scr!B:B))</f>
        <v>EURO ARAB TOURISM - L.L.C - O.P.C</v>
      </c>
      <c r="D283" s="38">
        <v>784198705026973</v>
      </c>
      <c r="E283" s="55" t="s">
        <v>849</v>
      </c>
      <c r="F283" s="30">
        <v>135401144</v>
      </c>
      <c r="G283" s="29">
        <v>46773</v>
      </c>
      <c r="H283" s="36">
        <v>46774</v>
      </c>
      <c r="I283" s="26"/>
      <c r="J283" s="26"/>
      <c r="K283" s="26"/>
      <c r="P283">
        <v>410</v>
      </c>
      <c r="Q283">
        <f>100</f>
        <v>100</v>
      </c>
      <c r="R283">
        <f>P283*Q283</f>
        <v>41000</v>
      </c>
    </row>
    <row r="284" spans="1:18" ht="60" hidden="1" x14ac:dyDescent="0.25">
      <c r="A284" s="43">
        <v>283</v>
      </c>
      <c r="B284" s="35" t="s">
        <v>368</v>
      </c>
      <c r="C284" s="52" t="str">
        <f>INDEX(Com_Scr!C:C,MATCH(Employee_Master!B:B,Com_Scr!B:B))</f>
        <v>EURO ARAB TOURISM - L.L.C - O.P.C</v>
      </c>
      <c r="D284" s="38">
        <v>784198054961077</v>
      </c>
      <c r="E284" s="55" t="s">
        <v>850</v>
      </c>
      <c r="F284" s="30">
        <v>117336240</v>
      </c>
      <c r="G284" s="29">
        <v>46233</v>
      </c>
      <c r="H284" s="36">
        <v>46239</v>
      </c>
      <c r="I284" s="26"/>
      <c r="J284" s="26"/>
      <c r="K284" s="26"/>
    </row>
    <row r="285" spans="1:18" ht="30" hidden="1" x14ac:dyDescent="0.25">
      <c r="A285" s="43">
        <v>284</v>
      </c>
      <c r="B285" s="35" t="s">
        <v>368</v>
      </c>
      <c r="C285" s="52" t="str">
        <f>INDEX(Com_Scr!C:C,MATCH(Employee_Master!B:B,Com_Scr!B:B))</f>
        <v>EURO ARAB TOURISM - L.L.C - O.P.C</v>
      </c>
      <c r="D285" s="38">
        <v>784196673509491</v>
      </c>
      <c r="E285" s="55" t="s">
        <v>851</v>
      </c>
      <c r="F285" s="30">
        <v>136710103</v>
      </c>
      <c r="G285" s="29">
        <v>46781</v>
      </c>
      <c r="H285" s="36">
        <v>46795</v>
      </c>
      <c r="I285" s="26"/>
      <c r="J285" s="26"/>
      <c r="K285" s="26"/>
    </row>
    <row r="286" spans="1:18" ht="30" hidden="1" x14ac:dyDescent="0.25">
      <c r="A286" s="43">
        <v>285</v>
      </c>
      <c r="B286" s="35" t="s">
        <v>368</v>
      </c>
      <c r="C286" s="52" t="str">
        <f>INDEX(Com_Scr!C:C,MATCH(Employee_Master!B:B,Com_Scr!B:B))</f>
        <v>EURO ARAB TOURISM - L.L.C - O.P.C</v>
      </c>
      <c r="D286" s="38">
        <v>784198919287601</v>
      </c>
      <c r="E286" s="55" t="s">
        <v>852</v>
      </c>
      <c r="F286" s="30">
        <v>134676680</v>
      </c>
      <c r="G286" s="29">
        <v>46773</v>
      </c>
      <c r="H286" s="36">
        <v>46753</v>
      </c>
      <c r="I286" s="26"/>
      <c r="J286" s="26"/>
      <c r="K286" s="26"/>
    </row>
    <row r="287" spans="1:18" ht="45" hidden="1" x14ac:dyDescent="0.25">
      <c r="A287" s="43">
        <v>286</v>
      </c>
      <c r="B287" s="35" t="s">
        <v>368</v>
      </c>
      <c r="C287" s="52" t="str">
        <f>INDEX(Com_Scr!C:C,MATCH(Employee_Master!B:B,Com_Scr!B:B))</f>
        <v>EURO ARAB TOURISM - L.L.C - O.P.C</v>
      </c>
      <c r="D287" s="38">
        <v>784198413740725</v>
      </c>
      <c r="E287" s="55" t="s">
        <v>853</v>
      </c>
      <c r="F287" s="30">
        <v>134949718</v>
      </c>
      <c r="G287" s="29">
        <v>46726</v>
      </c>
      <c r="H287" s="36">
        <v>46752</v>
      </c>
      <c r="I287" s="26"/>
      <c r="J287" s="26"/>
      <c r="K287" s="26"/>
    </row>
    <row r="288" spans="1:18" ht="30" x14ac:dyDescent="0.25">
      <c r="A288" s="43">
        <v>287</v>
      </c>
      <c r="B288" s="35" t="s">
        <v>370</v>
      </c>
      <c r="C288" s="52" t="str">
        <f>INDEX(Com_Scr!C:C,MATCH(Employee_Master!B:B,Com_Scr!B:B))</f>
        <v>NEELAS LADIES BEAUTY SALOON - L.L.C - O.P.C</v>
      </c>
      <c r="D288" s="38">
        <v>784197405191434</v>
      </c>
      <c r="E288" s="55" t="s">
        <v>854</v>
      </c>
      <c r="F288" s="30">
        <v>117186787</v>
      </c>
      <c r="G288" s="29">
        <v>46253</v>
      </c>
      <c r="H288" s="36">
        <v>46256</v>
      </c>
      <c r="I288" s="26"/>
      <c r="J288" s="26"/>
      <c r="K288" s="26"/>
    </row>
    <row r="289" spans="1:11" ht="30" x14ac:dyDescent="0.25">
      <c r="A289" s="43">
        <v>288</v>
      </c>
      <c r="B289" s="35" t="s">
        <v>370</v>
      </c>
      <c r="C289" s="52" t="str">
        <f>INDEX(Com_Scr!C:C,MATCH(Employee_Master!B:B,Com_Scr!B:B))</f>
        <v>NEELAS LADIES BEAUTY SALOON - L.L.C - O.P.C</v>
      </c>
      <c r="D289" s="38">
        <v>784198329306983</v>
      </c>
      <c r="E289" s="55" t="s">
        <v>855</v>
      </c>
      <c r="F289" s="30">
        <v>130565333</v>
      </c>
      <c r="G289" s="29">
        <v>46632</v>
      </c>
      <c r="H289" s="36">
        <v>46638</v>
      </c>
      <c r="I289" s="26"/>
      <c r="J289" s="26"/>
      <c r="K289" s="26"/>
    </row>
    <row r="290" spans="1:11" ht="30" x14ac:dyDescent="0.25">
      <c r="A290" s="43">
        <v>289</v>
      </c>
      <c r="B290" s="35" t="s">
        <v>370</v>
      </c>
      <c r="C290" s="52" t="str">
        <f>INDEX(Com_Scr!C:C,MATCH(Employee_Master!B:B,Com_Scr!B:B))</f>
        <v>NEELAS LADIES BEAUTY SALOON - L.L.C - O.P.C</v>
      </c>
      <c r="D290" s="38">
        <v>784197118279211</v>
      </c>
      <c r="E290" s="55" t="s">
        <v>856</v>
      </c>
      <c r="F290" s="30">
        <v>117186768</v>
      </c>
      <c r="G290" s="29">
        <v>46253</v>
      </c>
      <c r="H290" s="36">
        <v>46256</v>
      </c>
      <c r="I290" s="26"/>
      <c r="J290" s="26"/>
      <c r="K290" s="26"/>
    </row>
    <row r="291" spans="1:11" ht="30" x14ac:dyDescent="0.25">
      <c r="A291" s="43">
        <v>290</v>
      </c>
      <c r="B291" s="35" t="s">
        <v>370</v>
      </c>
      <c r="C291" s="52" t="str">
        <f>INDEX(Com_Scr!C:C,MATCH(Employee_Master!B:B,Com_Scr!B:B))</f>
        <v>NEELAS LADIES BEAUTY SALOON - L.L.C - O.P.C</v>
      </c>
      <c r="D291" s="38">
        <v>784197896930928</v>
      </c>
      <c r="E291" s="55" t="s">
        <v>857</v>
      </c>
      <c r="F291" s="30">
        <v>736981485</v>
      </c>
      <c r="G291" s="29">
        <v>46819</v>
      </c>
      <c r="H291" s="36">
        <v>46822</v>
      </c>
      <c r="I291" s="26"/>
      <c r="J291" s="26"/>
      <c r="K291" s="26"/>
    </row>
    <row r="292" spans="1:11" ht="45" hidden="1" x14ac:dyDescent="0.25">
      <c r="A292" s="43">
        <v>291</v>
      </c>
      <c r="B292" s="35" t="s">
        <v>371</v>
      </c>
      <c r="C292" s="52" t="str">
        <f>INDEX(Com_Scr!C:C,MATCH(Employee_Master!B:B,Com_Scr!B:B))</f>
        <v>LE SIGNATURE MEATS - SOLE PROPRIETORSHIP L.L.C.</v>
      </c>
      <c r="D292" s="38">
        <v>784199792798680</v>
      </c>
      <c r="E292" s="55" t="s">
        <v>858</v>
      </c>
      <c r="F292" s="30">
        <v>131443218</v>
      </c>
      <c r="G292" s="29">
        <v>46666</v>
      </c>
      <c r="H292" s="36">
        <v>46682</v>
      </c>
      <c r="I292" s="26"/>
      <c r="J292" s="26"/>
      <c r="K292" s="26"/>
    </row>
    <row r="293" spans="1:11" ht="45" hidden="1" x14ac:dyDescent="0.25">
      <c r="A293" s="43">
        <v>292</v>
      </c>
      <c r="B293" s="35" t="s">
        <v>371</v>
      </c>
      <c r="C293" s="52" t="str">
        <f>INDEX(Com_Scr!C:C,MATCH(Employee_Master!B:B,Com_Scr!B:B))</f>
        <v>LE SIGNATURE MEATS - SOLE PROPRIETORSHIP L.L.C.</v>
      </c>
      <c r="D293" s="38">
        <v>784199423679168</v>
      </c>
      <c r="E293" s="55" t="s">
        <v>859</v>
      </c>
      <c r="F293" s="30">
        <v>121432470</v>
      </c>
      <c r="G293" s="29">
        <v>46386</v>
      </c>
      <c r="H293" s="36">
        <v>46390</v>
      </c>
      <c r="I293" s="26"/>
      <c r="J293" s="26"/>
      <c r="K293" s="26"/>
    </row>
    <row r="294" spans="1:11" ht="75" hidden="1" x14ac:dyDescent="0.25">
      <c r="A294" s="43">
        <v>293</v>
      </c>
      <c r="B294" s="35" t="s">
        <v>376</v>
      </c>
      <c r="C294" s="52" t="str">
        <f>INDEX(Com_Scr!C:C,MATCH(Employee_Master!B:B,Com_Scr!B:B))</f>
        <v>TOP SEA FRESH FISH - L.L.C</v>
      </c>
      <c r="D294" s="38">
        <v>784199329414686</v>
      </c>
      <c r="E294" s="55" t="s">
        <v>860</v>
      </c>
      <c r="F294" s="30">
        <v>120034700</v>
      </c>
      <c r="G294" s="29">
        <v>46343</v>
      </c>
      <c r="H294" s="36">
        <v>46362</v>
      </c>
      <c r="I294" s="26"/>
      <c r="J294" s="26"/>
      <c r="K294" s="26"/>
    </row>
    <row r="295" spans="1:11" ht="30" hidden="1" x14ac:dyDescent="0.25">
      <c r="A295" s="43">
        <v>294</v>
      </c>
      <c r="B295" s="35" t="s">
        <v>376</v>
      </c>
      <c r="C295" s="52" t="str">
        <f>INDEX(Com_Scr!C:C,MATCH(Employee_Master!B:B,Com_Scr!B:B))</f>
        <v>TOP SEA FRESH FISH - L.L.C</v>
      </c>
      <c r="D295" s="38">
        <v>784199393542867</v>
      </c>
      <c r="E295" s="55" t="s">
        <v>861</v>
      </c>
      <c r="F295" s="30">
        <v>118567957</v>
      </c>
      <c r="G295" s="29">
        <v>46302</v>
      </c>
      <c r="H295" s="36">
        <v>46305</v>
      </c>
      <c r="I295" s="26"/>
      <c r="J295" s="26"/>
      <c r="K295" s="26"/>
    </row>
    <row r="296" spans="1:11" ht="30" hidden="1" x14ac:dyDescent="0.25">
      <c r="A296" s="43">
        <v>295</v>
      </c>
      <c r="B296" s="35" t="s">
        <v>376</v>
      </c>
      <c r="C296" s="52" t="str">
        <f>INDEX(Com_Scr!C:C,MATCH(Employee_Master!B:B,Com_Scr!B:B))</f>
        <v>TOP SEA FRESH FISH - L.L.C</v>
      </c>
      <c r="D296" s="38">
        <v>784200069491866</v>
      </c>
      <c r="E296" s="55" t="s">
        <v>862</v>
      </c>
      <c r="F296" s="30">
        <v>130825147</v>
      </c>
      <c r="G296" s="29">
        <v>46644</v>
      </c>
      <c r="H296" s="36">
        <v>46590</v>
      </c>
      <c r="I296" s="26"/>
      <c r="J296" s="26"/>
      <c r="K296" s="26"/>
    </row>
    <row r="297" spans="1:11" ht="45" hidden="1" x14ac:dyDescent="0.25">
      <c r="A297" s="43">
        <v>296</v>
      </c>
      <c r="B297" s="35" t="s">
        <v>376</v>
      </c>
      <c r="C297" s="52" t="str">
        <f>INDEX(Com_Scr!C:C,MATCH(Employee_Master!B:B,Com_Scr!B:B))</f>
        <v>TOP SEA FRESH FISH - L.L.C</v>
      </c>
      <c r="D297" s="38">
        <v>784198626219236</v>
      </c>
      <c r="E297" s="55" t="s">
        <v>863</v>
      </c>
      <c r="F297" s="30">
        <v>128336748</v>
      </c>
      <c r="G297" s="29">
        <v>46575</v>
      </c>
      <c r="H297" s="36">
        <v>46688</v>
      </c>
      <c r="I297" s="26"/>
      <c r="J297" s="26"/>
      <c r="K297" s="26"/>
    </row>
    <row r="298" spans="1:11" ht="60" hidden="1" x14ac:dyDescent="0.25">
      <c r="A298" s="43">
        <v>297</v>
      </c>
      <c r="B298" s="35" t="s">
        <v>378</v>
      </c>
      <c r="C298" s="52" t="str">
        <f>INDEX(Com_Scr!C:C,MATCH(Employee_Master!B:B,Com_Scr!B:B))</f>
        <v>T M GENERAL MAINTENANCE &amp; PROPERTY - L.L.C - S.P.C</v>
      </c>
      <c r="D298" s="38">
        <v>784199464306986</v>
      </c>
      <c r="E298" s="55" t="s">
        <v>864</v>
      </c>
      <c r="F298" s="30">
        <v>120654265</v>
      </c>
      <c r="G298" s="29">
        <v>46355</v>
      </c>
      <c r="H298" s="36">
        <v>46360</v>
      </c>
      <c r="I298" s="26"/>
      <c r="J298" s="26"/>
      <c r="K298" s="26"/>
    </row>
    <row r="299" spans="1:11" ht="60" hidden="1" x14ac:dyDescent="0.25">
      <c r="A299" s="43">
        <v>298</v>
      </c>
      <c r="B299" s="35" t="s">
        <v>378</v>
      </c>
      <c r="C299" s="52" t="str">
        <f>INDEX(Com_Scr!C:C,MATCH(Employee_Master!B:B,Com_Scr!B:B))</f>
        <v>T M GENERAL MAINTENANCE &amp; PROPERTY - L.L.C - S.P.C</v>
      </c>
      <c r="D299" s="38">
        <v>784198992058606</v>
      </c>
      <c r="E299" s="55" t="s">
        <v>865</v>
      </c>
      <c r="F299" s="30">
        <v>136574622</v>
      </c>
      <c r="G299" s="29">
        <v>46767</v>
      </c>
      <c r="H299" s="36">
        <v>46802</v>
      </c>
      <c r="I299" s="26"/>
      <c r="J299" s="26"/>
      <c r="K299" s="26"/>
    </row>
    <row r="300" spans="1:11" ht="60" hidden="1" x14ac:dyDescent="0.25">
      <c r="A300" s="43">
        <v>299</v>
      </c>
      <c r="B300" s="35" t="s">
        <v>378</v>
      </c>
      <c r="C300" s="52" t="str">
        <f>INDEX(Com_Scr!C:C,MATCH(Employee_Master!B:B,Com_Scr!B:B))</f>
        <v>T M GENERAL MAINTENANCE &amp; PROPERTY - L.L.C - S.P.C</v>
      </c>
      <c r="D300" s="38">
        <v>784199930900214</v>
      </c>
      <c r="E300" s="55" t="s">
        <v>866</v>
      </c>
      <c r="F300" s="30">
        <v>126510610</v>
      </c>
      <c r="G300" s="29">
        <v>46517</v>
      </c>
      <c r="H300" s="36">
        <v>46523</v>
      </c>
      <c r="I300" s="26"/>
      <c r="J300" s="26"/>
      <c r="K300" s="26"/>
    </row>
    <row r="301" spans="1:11" ht="60" hidden="1" x14ac:dyDescent="0.25">
      <c r="A301" s="43">
        <v>300</v>
      </c>
      <c r="B301" s="35" t="s">
        <v>378</v>
      </c>
      <c r="C301" s="52" t="str">
        <f>INDEX(Com_Scr!C:C,MATCH(Employee_Master!B:B,Com_Scr!B:B))</f>
        <v>T M GENERAL MAINTENANCE &amp; PROPERTY - L.L.C - S.P.C</v>
      </c>
      <c r="D301" s="38">
        <v>784199884509607</v>
      </c>
      <c r="E301" s="55" t="s">
        <v>867</v>
      </c>
      <c r="F301" s="30">
        <v>128635402</v>
      </c>
      <c r="G301" s="29">
        <v>46524</v>
      </c>
      <c r="H301" s="36">
        <v>46588</v>
      </c>
      <c r="I301" s="26"/>
      <c r="J301" s="26"/>
      <c r="K301" s="26"/>
    </row>
    <row r="302" spans="1:11" ht="60" hidden="1" x14ac:dyDescent="0.25">
      <c r="A302" s="43">
        <v>301</v>
      </c>
      <c r="B302" s="35" t="s">
        <v>378</v>
      </c>
      <c r="C302" s="52" t="str">
        <f>INDEX(Com_Scr!C:C,MATCH(Employee_Master!B:B,Com_Scr!B:B))</f>
        <v>T M GENERAL MAINTENANCE &amp; PROPERTY - L.L.C - S.P.C</v>
      </c>
      <c r="D302" s="38">
        <v>784199278606191</v>
      </c>
      <c r="E302" s="55" t="s">
        <v>868</v>
      </c>
      <c r="F302" s="30">
        <v>121312573</v>
      </c>
      <c r="G302" s="29">
        <v>46361</v>
      </c>
      <c r="H302" s="36">
        <v>46383</v>
      </c>
      <c r="I302" s="26"/>
      <c r="J302" s="26"/>
      <c r="K302" s="26"/>
    </row>
    <row r="303" spans="1:11" ht="45" hidden="1" x14ac:dyDescent="0.25">
      <c r="A303" s="43">
        <v>302</v>
      </c>
      <c r="B303" s="35" t="s">
        <v>387</v>
      </c>
      <c r="C303" s="52" t="str">
        <f>INDEX(Com_Scr!C:C,MATCH(Employee_Master!B:B,Com_Scr!B:B))</f>
        <v>DATA BOOKKEEPING AND ACCOUNTING SERVICES</v>
      </c>
      <c r="D303" s="38">
        <v>784197567056896</v>
      </c>
      <c r="E303" s="55" t="s">
        <v>870</v>
      </c>
      <c r="F303" s="30">
        <v>122458006</v>
      </c>
      <c r="G303" s="29">
        <v>46416</v>
      </c>
      <c r="H303" s="36">
        <v>46422</v>
      </c>
      <c r="I303" s="26"/>
      <c r="J303" s="26"/>
      <c r="K303" s="26"/>
    </row>
    <row r="304" spans="1:11" ht="45" hidden="1" x14ac:dyDescent="0.25">
      <c r="A304" s="43">
        <v>303</v>
      </c>
      <c r="B304" s="35" t="s">
        <v>387</v>
      </c>
      <c r="C304" s="52" t="str">
        <f>INDEX(Com_Scr!C:C,MATCH(Employee_Master!B:B,Com_Scr!B:B))</f>
        <v>DATA BOOKKEEPING AND ACCOUNTING SERVICES</v>
      </c>
      <c r="D304" s="38">
        <v>484198772221507</v>
      </c>
      <c r="E304" s="55" t="s">
        <v>872</v>
      </c>
      <c r="F304" s="30">
        <v>121610812</v>
      </c>
      <c r="G304" s="29">
        <v>46393</v>
      </c>
      <c r="H304" s="36">
        <v>46409</v>
      </c>
      <c r="I304" s="26"/>
      <c r="J304" s="26"/>
      <c r="K304" s="26"/>
    </row>
    <row r="305" spans="1:11" ht="45" hidden="1" x14ac:dyDescent="0.25">
      <c r="A305" s="43">
        <v>304</v>
      </c>
      <c r="B305" s="35" t="s">
        <v>387</v>
      </c>
      <c r="C305" s="52" t="str">
        <f>INDEX(Com_Scr!C:C,MATCH(Employee_Master!B:B,Com_Scr!B:B))</f>
        <v>DATA BOOKKEEPING AND ACCOUNTING SERVICES</v>
      </c>
      <c r="D305" s="38" t="s">
        <v>335</v>
      </c>
      <c r="E305" s="55" t="s">
        <v>871</v>
      </c>
      <c r="F305" s="30">
        <v>118113662</v>
      </c>
      <c r="G305" s="29">
        <v>46287</v>
      </c>
      <c r="H305" s="36" t="s">
        <v>335</v>
      </c>
      <c r="I305" s="26"/>
      <c r="J305" s="26"/>
      <c r="K305" s="26"/>
    </row>
    <row r="306" spans="1:11" ht="30" hidden="1" x14ac:dyDescent="0.25">
      <c r="A306" s="43">
        <v>305</v>
      </c>
      <c r="B306" s="35" t="s">
        <v>389</v>
      </c>
      <c r="C306" s="52" t="str">
        <f>INDEX(Com_Scr!C:C,MATCH(Employee_Master!B:B,Com_Scr!B:B))</f>
        <v>KIRAT GENERAL TRANSPORT-L.L.C</v>
      </c>
      <c r="D306" s="38">
        <v>784200356983666</v>
      </c>
      <c r="E306" s="55" t="s">
        <v>874</v>
      </c>
      <c r="F306" s="30">
        <v>137664603</v>
      </c>
      <c r="G306" s="29">
        <v>46849</v>
      </c>
      <c r="H306" s="36">
        <v>46850</v>
      </c>
      <c r="I306" s="26"/>
      <c r="J306" s="26"/>
      <c r="K306" s="26"/>
    </row>
    <row r="307" spans="1:11" ht="30" hidden="1" x14ac:dyDescent="0.25">
      <c r="A307" s="43">
        <v>306</v>
      </c>
      <c r="B307" s="35" t="s">
        <v>389</v>
      </c>
      <c r="C307" s="52" t="str">
        <f>INDEX(Com_Scr!C:C,MATCH(Employee_Master!B:B,Com_Scr!B:B))</f>
        <v>KIRAT GENERAL TRANSPORT-L.L.C</v>
      </c>
      <c r="D307" s="38">
        <v>784200551815906</v>
      </c>
      <c r="E307" s="55" t="s">
        <v>875</v>
      </c>
      <c r="F307" s="30">
        <v>114667399</v>
      </c>
      <c r="G307" s="29">
        <v>46166</v>
      </c>
      <c r="H307" s="36">
        <v>46169</v>
      </c>
      <c r="I307" s="26"/>
      <c r="J307" s="26"/>
      <c r="K307" s="26"/>
    </row>
    <row r="308" spans="1:11" ht="30" hidden="1" x14ac:dyDescent="0.25">
      <c r="A308" s="43">
        <v>307</v>
      </c>
      <c r="B308" s="35" t="s">
        <v>389</v>
      </c>
      <c r="C308" s="52" t="str">
        <f>INDEX(Com_Scr!C:C,MATCH(Employee_Master!B:B,Com_Scr!B:B))</f>
        <v>KIRAT GENERAL TRANSPORT-L.L.C</v>
      </c>
      <c r="D308" s="38">
        <v>784200467739007</v>
      </c>
      <c r="E308" s="55" t="s">
        <v>876</v>
      </c>
      <c r="F308" s="30">
        <v>114635930</v>
      </c>
      <c r="G308" s="29">
        <v>46164</v>
      </c>
      <c r="H308" s="36">
        <v>46169</v>
      </c>
      <c r="I308" s="26"/>
      <c r="J308" s="26"/>
      <c r="K308" s="26"/>
    </row>
    <row r="309" spans="1:11" ht="30" hidden="1" x14ac:dyDescent="0.25">
      <c r="A309" s="43">
        <v>308</v>
      </c>
      <c r="B309" s="35" t="s">
        <v>389</v>
      </c>
      <c r="C309" s="52" t="str">
        <f>INDEX(Com_Scr!C:C,MATCH(Employee_Master!B:B,Com_Scr!B:B))</f>
        <v>KIRAT GENERAL TRANSPORT-L.L.C</v>
      </c>
      <c r="D309" s="38">
        <v>784199960435628</v>
      </c>
      <c r="E309" s="55" t="s">
        <v>877</v>
      </c>
      <c r="F309" s="30">
        <v>116801497</v>
      </c>
      <c r="G309" s="29">
        <v>46239</v>
      </c>
      <c r="H309" s="36">
        <v>46241</v>
      </c>
      <c r="I309" s="26"/>
      <c r="J309" s="26"/>
      <c r="K309" s="26"/>
    </row>
    <row r="310" spans="1:11" ht="30" hidden="1" x14ac:dyDescent="0.25">
      <c r="A310" s="43">
        <v>309</v>
      </c>
      <c r="B310" s="35" t="s">
        <v>389</v>
      </c>
      <c r="C310" s="52" t="str">
        <f>INDEX(Com_Scr!C:C,MATCH(Employee_Master!B:B,Com_Scr!B:B))</f>
        <v>KIRAT GENERAL TRANSPORT-L.L.C</v>
      </c>
      <c r="D310" s="38">
        <v>784200249740737</v>
      </c>
      <c r="E310" s="55" t="s">
        <v>878</v>
      </c>
      <c r="F310" s="30">
        <v>116563956</v>
      </c>
      <c r="G310" s="29">
        <v>46211</v>
      </c>
      <c r="H310" s="36">
        <v>46242</v>
      </c>
      <c r="I310" s="26"/>
      <c r="J310" s="26"/>
      <c r="K310" s="26"/>
    </row>
    <row r="311" spans="1:11" ht="30" hidden="1" x14ac:dyDescent="0.25">
      <c r="A311" s="43">
        <v>310</v>
      </c>
      <c r="B311" s="35" t="s">
        <v>389</v>
      </c>
      <c r="C311" s="52" t="str">
        <f>INDEX(Com_Scr!C:C,MATCH(Employee_Master!B:B,Com_Scr!B:B))</f>
        <v>KIRAT GENERAL TRANSPORT-L.L.C</v>
      </c>
      <c r="D311" s="38">
        <v>784199927849572</v>
      </c>
      <c r="E311" s="55" t="s">
        <v>891</v>
      </c>
      <c r="F311" s="30">
        <v>116784647</v>
      </c>
      <c r="G311" s="29">
        <v>46239</v>
      </c>
      <c r="H311" s="36">
        <v>46234</v>
      </c>
      <c r="I311" s="26"/>
      <c r="J311" s="26"/>
      <c r="K311" s="26"/>
    </row>
    <row r="312" spans="1:11" ht="30" hidden="1" x14ac:dyDescent="0.25">
      <c r="A312" s="43">
        <v>311</v>
      </c>
      <c r="B312" s="35" t="s">
        <v>389</v>
      </c>
      <c r="C312" s="52" t="str">
        <f>INDEX(Com_Scr!C:C,MATCH(Employee_Master!B:B,Com_Scr!B:B))</f>
        <v>KIRAT GENERAL TRANSPORT-L.L.C</v>
      </c>
      <c r="D312" s="38">
        <v>784200478156936</v>
      </c>
      <c r="E312" s="55" t="s">
        <v>879</v>
      </c>
      <c r="F312" s="30">
        <v>137689106</v>
      </c>
      <c r="G312" s="29">
        <v>46850</v>
      </c>
      <c r="H312" s="36">
        <v>46851</v>
      </c>
      <c r="I312" s="26"/>
      <c r="J312" s="26"/>
      <c r="K312" s="26"/>
    </row>
    <row r="313" spans="1:11" ht="30" hidden="1" x14ac:dyDescent="0.25">
      <c r="A313" s="43">
        <v>312</v>
      </c>
      <c r="B313" s="35" t="s">
        <v>389</v>
      </c>
      <c r="C313" s="52" t="str">
        <f>INDEX(Com_Scr!C:C,MATCH(Employee_Master!B:B,Com_Scr!B:B))</f>
        <v>KIRAT GENERAL TRANSPORT-L.L.C</v>
      </c>
      <c r="D313" s="38">
        <v>784200330702257</v>
      </c>
      <c r="E313" s="55" t="s">
        <v>880</v>
      </c>
      <c r="F313" s="30">
        <v>135273940</v>
      </c>
      <c r="G313" s="29">
        <v>46771</v>
      </c>
      <c r="H313" s="36">
        <v>46772</v>
      </c>
      <c r="I313" s="26"/>
      <c r="J313" s="26"/>
      <c r="K313" s="26"/>
    </row>
    <row r="314" spans="1:11" ht="30" hidden="1" x14ac:dyDescent="0.25">
      <c r="A314" s="43">
        <v>313</v>
      </c>
      <c r="B314" s="35" t="s">
        <v>389</v>
      </c>
      <c r="C314" s="52" t="str">
        <f>INDEX(Com_Scr!C:C,MATCH(Employee_Master!B:B,Com_Scr!B:B))</f>
        <v>KIRAT GENERAL TRANSPORT-L.L.C</v>
      </c>
      <c r="D314" s="38">
        <v>784200178843338</v>
      </c>
      <c r="E314" s="55" t="s">
        <v>881</v>
      </c>
      <c r="F314" s="30">
        <v>135700321</v>
      </c>
      <c r="G314" s="29">
        <v>46781</v>
      </c>
      <c r="H314" s="36">
        <v>46787</v>
      </c>
      <c r="I314" s="26"/>
      <c r="J314" s="26"/>
      <c r="K314" s="26"/>
    </row>
    <row r="315" spans="1:11" ht="30" hidden="1" x14ac:dyDescent="0.25">
      <c r="A315" s="43">
        <v>314</v>
      </c>
      <c r="B315" s="35" t="s">
        <v>389</v>
      </c>
      <c r="C315" s="52" t="str">
        <f>INDEX(Com_Scr!C:C,MATCH(Employee_Master!B:B,Com_Scr!B:B))</f>
        <v>KIRAT GENERAL TRANSPORT-L.L.C</v>
      </c>
      <c r="D315" s="38">
        <v>784199476275195</v>
      </c>
      <c r="E315" s="55" t="s">
        <v>882</v>
      </c>
      <c r="F315" s="30">
        <v>136991055</v>
      </c>
      <c r="G315" s="29">
        <v>46825</v>
      </c>
      <c r="H315" s="36">
        <v>46830</v>
      </c>
      <c r="I315" s="26"/>
      <c r="J315" s="26"/>
      <c r="K315" s="26"/>
    </row>
    <row r="316" spans="1:11" ht="30" hidden="1" x14ac:dyDescent="0.25">
      <c r="A316" s="43">
        <v>315</v>
      </c>
      <c r="B316" s="35" t="s">
        <v>389</v>
      </c>
      <c r="C316" s="52" t="str">
        <f>INDEX(Com_Scr!C:C,MATCH(Employee_Master!B:B,Com_Scr!B:B))</f>
        <v>KIRAT GENERAL TRANSPORT-L.L.C</v>
      </c>
      <c r="D316" s="38">
        <v>784198862586546</v>
      </c>
      <c r="E316" s="55" t="s">
        <v>883</v>
      </c>
      <c r="F316" s="30">
        <v>137016122</v>
      </c>
      <c r="G316" s="29">
        <v>46825</v>
      </c>
      <c r="H316" s="36">
        <v>46830</v>
      </c>
      <c r="I316" s="26"/>
      <c r="J316" s="26"/>
      <c r="K316" s="26"/>
    </row>
    <row r="317" spans="1:11" ht="30" hidden="1" x14ac:dyDescent="0.25">
      <c r="A317" s="43">
        <v>316</v>
      </c>
      <c r="B317" s="35" t="s">
        <v>389</v>
      </c>
      <c r="C317" s="52" t="str">
        <f>INDEX(Com_Scr!C:C,MATCH(Employee_Master!B:B,Com_Scr!B:B))</f>
        <v>KIRAT GENERAL TRANSPORT-L.L.C</v>
      </c>
      <c r="D317" s="38">
        <v>784200634175408</v>
      </c>
      <c r="E317" s="55" t="s">
        <v>884</v>
      </c>
      <c r="F317" s="30">
        <v>135515849</v>
      </c>
      <c r="G317" s="29">
        <v>46777</v>
      </c>
      <c r="H317" s="36">
        <v>46779</v>
      </c>
      <c r="I317" s="26"/>
      <c r="J317" s="26"/>
      <c r="K317" s="26"/>
    </row>
    <row r="318" spans="1:11" ht="30" hidden="1" x14ac:dyDescent="0.25">
      <c r="A318" s="43">
        <v>317</v>
      </c>
      <c r="B318" s="35" t="s">
        <v>389</v>
      </c>
      <c r="C318" s="52" t="str">
        <f>INDEX(Com_Scr!C:C,MATCH(Employee_Master!B:B,Com_Scr!B:B))</f>
        <v>KIRAT GENERAL TRANSPORT-L.L.C</v>
      </c>
      <c r="D318" s="38">
        <v>784200210182141</v>
      </c>
      <c r="E318" s="55" t="s">
        <v>885</v>
      </c>
      <c r="F318" s="30">
        <v>117220760</v>
      </c>
      <c r="G318" s="29">
        <v>46249</v>
      </c>
      <c r="H318" s="36">
        <v>46256</v>
      </c>
      <c r="I318" s="26"/>
      <c r="J318" s="26"/>
      <c r="K318" s="26"/>
    </row>
    <row r="319" spans="1:11" ht="30" hidden="1" x14ac:dyDescent="0.25">
      <c r="A319" s="43">
        <v>319</v>
      </c>
      <c r="B319" s="35" t="s">
        <v>389</v>
      </c>
      <c r="C319" s="52" t="str">
        <f>INDEX(Com_Scr!C:C,MATCH(Employee_Master!B:B,Com_Scr!B:B))</f>
        <v>KIRAT GENERAL TRANSPORT-L.L.C</v>
      </c>
      <c r="D319" s="38">
        <v>784199536500756</v>
      </c>
      <c r="E319" s="55" t="s">
        <v>887</v>
      </c>
      <c r="F319" s="30">
        <v>116110515</v>
      </c>
      <c r="G319" s="29">
        <v>46217</v>
      </c>
      <c r="H319" s="36">
        <v>46220</v>
      </c>
      <c r="I319" s="26"/>
      <c r="J319" s="26"/>
      <c r="K319" s="26"/>
    </row>
    <row r="320" spans="1:11" ht="30" hidden="1" x14ac:dyDescent="0.25">
      <c r="A320" s="43">
        <v>320</v>
      </c>
      <c r="B320" s="35" t="s">
        <v>389</v>
      </c>
      <c r="C320" s="52" t="str">
        <f>INDEX(Com_Scr!C:C,MATCH(Employee_Master!B:B,Com_Scr!B:B))</f>
        <v>KIRAT GENERAL TRANSPORT-L.L.C</v>
      </c>
      <c r="D320" s="38">
        <v>784198537518759</v>
      </c>
      <c r="E320" s="55" t="s">
        <v>888</v>
      </c>
      <c r="F320" s="30">
        <v>115440727</v>
      </c>
      <c r="G320" s="29">
        <v>46193</v>
      </c>
      <c r="H320" s="36">
        <v>46199</v>
      </c>
      <c r="I320" s="26"/>
      <c r="J320" s="26"/>
      <c r="K320" s="26"/>
    </row>
    <row r="321" spans="1:11" ht="30" hidden="1" x14ac:dyDescent="0.25">
      <c r="A321" s="43">
        <v>321</v>
      </c>
      <c r="B321" s="35" t="s">
        <v>389</v>
      </c>
      <c r="C321" s="52" t="str">
        <f>INDEX(Com_Scr!C:C,MATCH(Employee_Master!B:B,Com_Scr!B:B))</f>
        <v>KIRAT GENERAL TRANSPORT-L.L.C</v>
      </c>
      <c r="D321" s="38">
        <v>784200126055464</v>
      </c>
      <c r="E321" s="55" t="s">
        <v>889</v>
      </c>
      <c r="F321" s="30">
        <v>134430170</v>
      </c>
      <c r="G321" s="29">
        <v>46752</v>
      </c>
      <c r="H321" s="36">
        <v>46756</v>
      </c>
      <c r="I321" s="26"/>
      <c r="J321" s="26"/>
      <c r="K321" s="26"/>
    </row>
    <row r="322" spans="1:11" ht="30" hidden="1" x14ac:dyDescent="0.25">
      <c r="A322" s="43">
        <v>322</v>
      </c>
      <c r="B322" s="35" t="s">
        <v>389</v>
      </c>
      <c r="C322" s="52" t="str">
        <f>INDEX(Com_Scr!C:C,MATCH(Employee_Master!B:B,Com_Scr!B:B))</f>
        <v>KIRAT GENERAL TRANSPORT-L.L.C</v>
      </c>
      <c r="D322" s="38">
        <v>784200027786423</v>
      </c>
      <c r="E322" s="55" t="s">
        <v>890</v>
      </c>
      <c r="F322" s="30">
        <v>127808466</v>
      </c>
      <c r="G322" s="29">
        <v>46556</v>
      </c>
      <c r="H322" s="36">
        <v>46559</v>
      </c>
      <c r="I322" s="26"/>
      <c r="J322" s="26"/>
      <c r="K322" s="26"/>
    </row>
    <row r="323" spans="1:11" ht="45" hidden="1" x14ac:dyDescent="0.25">
      <c r="A323" s="43">
        <v>323</v>
      </c>
      <c r="B323" s="35" t="s">
        <v>381</v>
      </c>
      <c r="C323" s="52" t="str">
        <f>INDEX(Com_Scr!C:C,MATCH(Employee_Master!B:B,Com_Scr!B:B))</f>
        <v>FASTE AVENUE TRANSPORT - S.P.C-L.L.C</v>
      </c>
      <c r="D323" s="38">
        <v>784198845308984</v>
      </c>
      <c r="E323" s="55" t="s">
        <v>899</v>
      </c>
      <c r="F323" s="26">
        <v>133075163</v>
      </c>
      <c r="G323" s="29">
        <v>46711</v>
      </c>
      <c r="H323" s="36">
        <v>46723</v>
      </c>
      <c r="I323" s="26"/>
      <c r="J323" s="26"/>
      <c r="K323" s="26"/>
    </row>
    <row r="324" spans="1:11" ht="45" hidden="1" x14ac:dyDescent="0.25">
      <c r="A324" s="43">
        <v>324</v>
      </c>
      <c r="B324" s="35" t="s">
        <v>381</v>
      </c>
      <c r="C324" s="52" t="str">
        <f>INDEX(Com_Scr!C:C,MATCH(Employee_Master!B:B,Com_Scr!B:B))</f>
        <v>FASTE AVENUE TRANSPORT - S.P.C-L.L.C</v>
      </c>
      <c r="D324" s="38">
        <v>784199331797656</v>
      </c>
      <c r="E324" s="55" t="s">
        <v>900</v>
      </c>
      <c r="F324" s="26">
        <v>121337540</v>
      </c>
      <c r="G324" s="29">
        <v>46385</v>
      </c>
      <c r="H324" s="36">
        <v>46388</v>
      </c>
      <c r="I324" s="26"/>
      <c r="J324" s="26"/>
      <c r="K324" s="26"/>
    </row>
    <row r="325" spans="1:11" ht="45" hidden="1" x14ac:dyDescent="0.25">
      <c r="A325" s="43">
        <v>325</v>
      </c>
      <c r="B325" s="35" t="s">
        <v>381</v>
      </c>
      <c r="C325" s="52" t="str">
        <f>INDEX(Com_Scr!C:C,MATCH(Employee_Master!B:B,Com_Scr!B:B))</f>
        <v>FASTE AVENUE TRANSPORT - S.P.C-L.L.C</v>
      </c>
      <c r="D325" s="38">
        <v>784198084068588</v>
      </c>
      <c r="E325" s="55" t="s">
        <v>901</v>
      </c>
      <c r="F325" s="26">
        <v>118935706</v>
      </c>
      <c r="G325" s="29">
        <v>46312</v>
      </c>
      <c r="H325" s="36">
        <v>46317</v>
      </c>
      <c r="I325" s="26"/>
      <c r="J325" s="26"/>
      <c r="K325" s="26"/>
    </row>
    <row r="326" spans="1:11" ht="45" hidden="1" x14ac:dyDescent="0.25">
      <c r="A326" s="43">
        <v>326</v>
      </c>
      <c r="B326" s="35" t="s">
        <v>381</v>
      </c>
      <c r="C326" s="52" t="str">
        <f>INDEX(Com_Scr!C:C,MATCH(Employee_Master!B:B,Com_Scr!B:B))</f>
        <v>FASTE AVENUE TRANSPORT - S.P.C-L.L.C</v>
      </c>
      <c r="D326" s="38">
        <v>784199331797656</v>
      </c>
      <c r="E326" s="55" t="s">
        <v>902</v>
      </c>
      <c r="F326" s="30">
        <v>131227036</v>
      </c>
      <c r="G326" s="29">
        <v>46655</v>
      </c>
      <c r="H326" s="36">
        <v>46668</v>
      </c>
      <c r="I326" s="26"/>
      <c r="J326" s="26"/>
      <c r="K326" s="26"/>
    </row>
    <row r="327" spans="1:11" ht="45" hidden="1" x14ac:dyDescent="0.25">
      <c r="A327" s="43">
        <v>327</v>
      </c>
      <c r="B327" s="35" t="s">
        <v>381</v>
      </c>
      <c r="C327" s="52" t="str">
        <f>INDEX(Com_Scr!C:C,MATCH(Employee_Master!B:B,Com_Scr!B:B))</f>
        <v>FASTE AVENUE TRANSPORT - S.P.C-L.L.C</v>
      </c>
      <c r="D327" s="38">
        <v>784198516044793</v>
      </c>
      <c r="E327" s="55" t="s">
        <v>903</v>
      </c>
      <c r="F327" s="30">
        <v>116701197</v>
      </c>
      <c r="G327" s="29">
        <v>46236</v>
      </c>
      <c r="H327" s="36">
        <v>46241</v>
      </c>
      <c r="I327" s="26"/>
      <c r="J327" s="26"/>
      <c r="K327" s="26"/>
    </row>
    <row r="328" spans="1:11" ht="45" hidden="1" x14ac:dyDescent="0.25">
      <c r="A328" s="43">
        <v>328</v>
      </c>
      <c r="B328" s="35" t="s">
        <v>381</v>
      </c>
      <c r="C328" s="52" t="str">
        <f>INDEX(Com_Scr!C:C,MATCH(Employee_Master!B:B,Com_Scr!B:B))</f>
        <v>FASTE AVENUE TRANSPORT - S.P.C-L.L.C</v>
      </c>
      <c r="D328" s="38"/>
      <c r="E328" s="55" t="s">
        <v>904</v>
      </c>
      <c r="F328" s="30">
        <v>137476839</v>
      </c>
      <c r="G328" s="29">
        <v>46842</v>
      </c>
      <c r="H328" s="36"/>
      <c r="I328" s="26"/>
      <c r="J328" s="26"/>
      <c r="K328" s="26"/>
    </row>
    <row r="329" spans="1:11" ht="30" hidden="1" x14ac:dyDescent="0.25">
      <c r="A329" s="43">
        <v>329</v>
      </c>
      <c r="B329" s="35" t="s">
        <v>429</v>
      </c>
      <c r="C329" s="52" t="str">
        <f>INDEX(Com_Scr!C:C,MATCH(Employee_Master!B:B,Com_Scr!B:B))</f>
        <v>MID NIGHT SAFARI AND TOURS</v>
      </c>
      <c r="D329" s="38">
        <v>784198932948486</v>
      </c>
      <c r="E329" s="55" t="s">
        <v>906</v>
      </c>
      <c r="F329" s="30">
        <v>137896938</v>
      </c>
      <c r="G329" s="29">
        <v>46820</v>
      </c>
      <c r="H329" s="36">
        <v>46151</v>
      </c>
      <c r="I329" s="26"/>
      <c r="J329" s="26"/>
      <c r="K329" s="26"/>
    </row>
    <row r="330" spans="1:11" ht="30" hidden="1" x14ac:dyDescent="0.25">
      <c r="A330" s="43">
        <v>330</v>
      </c>
      <c r="B330" s="35" t="s">
        <v>429</v>
      </c>
      <c r="C330" s="52" t="str">
        <f>INDEX(Com_Scr!C:C,MATCH(Employee_Master!B:B,Com_Scr!B:B))</f>
        <v>MID NIGHT SAFARI AND TOURS</v>
      </c>
      <c r="D330" s="38">
        <v>784198870740754</v>
      </c>
      <c r="E330" s="55" t="s">
        <v>907</v>
      </c>
      <c r="F330" s="30">
        <v>137588571</v>
      </c>
      <c r="G330" s="29">
        <v>46804</v>
      </c>
      <c r="H330" s="36">
        <v>46529</v>
      </c>
      <c r="I330" s="26"/>
      <c r="J330" s="26"/>
      <c r="K330" s="26"/>
    </row>
    <row r="331" spans="1:11" ht="30" hidden="1" x14ac:dyDescent="0.25">
      <c r="A331" s="43">
        <v>331</v>
      </c>
      <c r="B331" s="35" t="s">
        <v>429</v>
      </c>
      <c r="C331" s="52" t="str">
        <f>INDEX(Com_Scr!C:C,MATCH(Employee_Master!B:B,Com_Scr!B:B))</f>
        <v>MID NIGHT SAFARI AND TOURS</v>
      </c>
      <c r="D331" s="38">
        <v>784199107086052</v>
      </c>
      <c r="E331" s="55" t="s">
        <v>908</v>
      </c>
      <c r="F331" s="30">
        <v>133098292</v>
      </c>
      <c r="G331" s="29">
        <v>46651</v>
      </c>
      <c r="H331" s="36">
        <v>46649</v>
      </c>
      <c r="I331" s="26"/>
      <c r="J331" s="26"/>
      <c r="K331" s="26"/>
    </row>
    <row r="332" spans="1:11" ht="45" hidden="1" x14ac:dyDescent="0.25">
      <c r="A332" s="43">
        <v>332</v>
      </c>
      <c r="B332" s="35" t="s">
        <v>429</v>
      </c>
      <c r="C332" s="52" t="str">
        <f>INDEX(Com_Scr!C:C,MATCH(Employee_Master!B:B,Com_Scr!B:B))</f>
        <v>MID NIGHT SAFARI AND TOURS</v>
      </c>
      <c r="D332" s="38">
        <v>784196784491753</v>
      </c>
      <c r="E332" s="55" t="s">
        <v>909</v>
      </c>
      <c r="F332" s="30">
        <v>117943103</v>
      </c>
      <c r="G332" s="29">
        <v>46224</v>
      </c>
      <c r="H332" s="36">
        <v>46825</v>
      </c>
      <c r="I332" s="26"/>
      <c r="J332" s="26"/>
      <c r="K332" s="26"/>
    </row>
    <row r="333" spans="1:11" ht="45" hidden="1" x14ac:dyDescent="0.25">
      <c r="A333" s="43">
        <v>333</v>
      </c>
      <c r="B333" s="35" t="s">
        <v>429</v>
      </c>
      <c r="C333" s="52" t="str">
        <f>INDEX(Com_Scr!C:C,MATCH(Employee_Master!B:B,Com_Scr!B:B))</f>
        <v>MID NIGHT SAFARI AND TOURS</v>
      </c>
      <c r="D333" s="38">
        <v>784197693149755</v>
      </c>
      <c r="E333" s="55" t="s">
        <v>910</v>
      </c>
      <c r="F333" s="30">
        <v>126718920</v>
      </c>
      <c r="G333" s="29">
        <v>46483</v>
      </c>
      <c r="H333" s="36">
        <v>46258</v>
      </c>
      <c r="I333" s="26"/>
      <c r="J333" s="26"/>
      <c r="K333" s="26"/>
    </row>
    <row r="334" spans="1:11" ht="30" hidden="1" x14ac:dyDescent="0.25">
      <c r="A334" s="43">
        <v>334</v>
      </c>
      <c r="B334" s="35" t="s">
        <v>429</v>
      </c>
      <c r="C334" s="52" t="str">
        <f>INDEX(Com_Scr!C:C,MATCH(Employee_Master!B:B,Com_Scr!B:B))</f>
        <v>MID NIGHT SAFARI AND TOURS</v>
      </c>
      <c r="D334" s="38">
        <v>784196903919361</v>
      </c>
      <c r="E334" s="55" t="s">
        <v>911</v>
      </c>
      <c r="F334" s="30">
        <v>131719910</v>
      </c>
      <c r="G334" s="29">
        <v>46640</v>
      </c>
      <c r="H334" s="36">
        <v>46705</v>
      </c>
      <c r="I334" s="26"/>
      <c r="J334" s="26"/>
      <c r="K334" s="26"/>
    </row>
    <row r="335" spans="1:11" ht="45" hidden="1" x14ac:dyDescent="0.25">
      <c r="A335" s="43">
        <v>335</v>
      </c>
      <c r="B335" s="35" t="s">
        <v>433</v>
      </c>
      <c r="C335" s="52" t="str">
        <f>INDEX(Com_Scr!C:C,MATCH(Employee_Master!B:B,Com_Scr!B:B))</f>
        <v>POPULAR CHARCOAL TRADING</v>
      </c>
      <c r="D335" s="38">
        <v>784199170906038</v>
      </c>
      <c r="E335" s="55" t="s">
        <v>913</v>
      </c>
      <c r="F335" s="30">
        <v>135771154</v>
      </c>
      <c r="G335" s="29">
        <v>46767</v>
      </c>
      <c r="H335" s="36">
        <v>46781</v>
      </c>
      <c r="I335" s="26"/>
      <c r="J335" s="26"/>
      <c r="K335" s="26"/>
    </row>
    <row r="336" spans="1:11" ht="30" hidden="1" x14ac:dyDescent="0.25">
      <c r="A336" s="43">
        <v>336</v>
      </c>
      <c r="B336" s="35" t="s">
        <v>433</v>
      </c>
      <c r="C336" s="52" t="str">
        <f>INDEX(Com_Scr!C:C,MATCH(Employee_Master!B:B,Com_Scr!B:B))</f>
        <v>POPULAR CHARCOAL TRADING</v>
      </c>
      <c r="D336" s="38">
        <v>784197124615481</v>
      </c>
      <c r="E336" s="55" t="s">
        <v>914</v>
      </c>
      <c r="F336" s="30">
        <v>119109142</v>
      </c>
      <c r="G336" s="29">
        <v>46368</v>
      </c>
      <c r="H336" s="36">
        <v>46318</v>
      </c>
      <c r="I336" s="26"/>
      <c r="J336" s="26"/>
      <c r="K336" s="26"/>
    </row>
    <row r="337" spans="1:11" ht="45" hidden="1" x14ac:dyDescent="0.25">
      <c r="A337" s="43">
        <v>337</v>
      </c>
      <c r="B337" s="35" t="s">
        <v>433</v>
      </c>
      <c r="C337" s="52" t="str">
        <f>INDEX(Com_Scr!C:C,MATCH(Employee_Master!B:B,Com_Scr!B:B))</f>
        <v>POPULAR CHARCOAL TRADING</v>
      </c>
      <c r="D337" s="38">
        <v>784196759042714</v>
      </c>
      <c r="E337" s="55" t="s">
        <v>915</v>
      </c>
      <c r="F337" s="30">
        <v>121412198</v>
      </c>
      <c r="G337" s="29">
        <v>46383</v>
      </c>
      <c r="H337" s="36">
        <v>46386</v>
      </c>
      <c r="I337" s="26"/>
      <c r="J337" s="26"/>
      <c r="K337" s="26"/>
    </row>
    <row r="338" spans="1:11" ht="60" hidden="1" x14ac:dyDescent="0.25">
      <c r="A338" s="43">
        <v>338</v>
      </c>
      <c r="B338" s="35" t="s">
        <v>383</v>
      </c>
      <c r="C338" s="52" t="str">
        <f>INDEX(Com_Scr!C:C,MATCH(Employee_Master!B:B,Com_Scr!B:B))</f>
        <v>AL NAJOUM EGG TRADING</v>
      </c>
      <c r="D338" s="38">
        <v>784199795385071</v>
      </c>
      <c r="E338" s="55" t="s">
        <v>917</v>
      </c>
      <c r="F338" s="30">
        <v>113785849</v>
      </c>
      <c r="G338" s="29">
        <v>46127</v>
      </c>
      <c r="H338" s="36">
        <v>46142</v>
      </c>
      <c r="I338" s="26"/>
      <c r="J338" s="26"/>
      <c r="K338" s="26"/>
    </row>
    <row r="339" spans="1:11" ht="45" hidden="1" x14ac:dyDescent="0.25">
      <c r="A339" s="43">
        <v>339</v>
      </c>
      <c r="B339" s="35" t="s">
        <v>383</v>
      </c>
      <c r="C339" s="52" t="str">
        <f>INDEX(Com_Scr!C:C,MATCH(Employee_Master!B:B,Com_Scr!B:B))</f>
        <v>AL NAJOUM EGG TRADING</v>
      </c>
      <c r="D339" s="38">
        <v>784199891810550</v>
      </c>
      <c r="E339" s="55" t="s">
        <v>918</v>
      </c>
      <c r="F339" s="30">
        <v>130879946</v>
      </c>
      <c r="G339" s="29">
        <v>46646</v>
      </c>
      <c r="H339" s="36">
        <v>46688</v>
      </c>
      <c r="I339" s="26"/>
      <c r="J339" s="26"/>
      <c r="K339" s="26"/>
    </row>
    <row r="340" spans="1:11" ht="30" hidden="1" x14ac:dyDescent="0.25">
      <c r="A340" s="43">
        <v>340</v>
      </c>
      <c r="B340" s="35" t="s">
        <v>383</v>
      </c>
      <c r="C340" s="52" t="str">
        <f>INDEX(Com_Scr!C:C,MATCH(Employee_Master!B:B,Com_Scr!B:B))</f>
        <v>AL NAJOUM EGG TRADING</v>
      </c>
      <c r="D340" s="38">
        <v>784199955550043</v>
      </c>
      <c r="E340" s="55" t="s">
        <v>919</v>
      </c>
      <c r="F340" s="30">
        <v>125925995</v>
      </c>
      <c r="G340" s="29">
        <v>46512</v>
      </c>
      <c r="H340" s="36">
        <v>46570</v>
      </c>
      <c r="I340" s="26"/>
      <c r="J340" s="26"/>
      <c r="K340" s="26"/>
    </row>
    <row r="341" spans="1:11" ht="30" hidden="1" x14ac:dyDescent="0.25">
      <c r="A341" s="43">
        <v>341</v>
      </c>
      <c r="B341" s="35" t="s">
        <v>383</v>
      </c>
      <c r="C341" s="52" t="str">
        <f>INDEX(Com_Scr!C:C,MATCH(Employee_Master!B:B,Com_Scr!B:B))</f>
        <v>AL NAJOUM EGG TRADING</v>
      </c>
      <c r="D341" s="38">
        <v>784200289211003</v>
      </c>
      <c r="E341" s="55" t="s">
        <v>920</v>
      </c>
      <c r="F341" s="30">
        <v>130829659</v>
      </c>
      <c r="G341" s="29">
        <v>46644</v>
      </c>
      <c r="H341" s="36">
        <v>46689</v>
      </c>
      <c r="I341" s="26"/>
      <c r="J341" s="26"/>
      <c r="K341" s="26"/>
    </row>
    <row r="342" spans="1:11" ht="45" hidden="1" x14ac:dyDescent="0.25">
      <c r="A342" s="43">
        <v>342</v>
      </c>
      <c r="B342" s="35" t="s">
        <v>383</v>
      </c>
      <c r="C342" s="52" t="str">
        <f>INDEX(Com_Scr!C:C,MATCH(Employee_Master!B:B,Com_Scr!B:B))</f>
        <v>AL NAJOUM EGG TRADING</v>
      </c>
      <c r="D342" s="38">
        <v>784199357263146</v>
      </c>
      <c r="E342" s="55" t="s">
        <v>921</v>
      </c>
      <c r="F342" s="30">
        <v>125925895</v>
      </c>
      <c r="G342" s="29">
        <v>46512</v>
      </c>
      <c r="H342" s="36">
        <v>46570</v>
      </c>
      <c r="I342" s="26"/>
      <c r="J342" s="26"/>
      <c r="K342" s="26"/>
    </row>
    <row r="343" spans="1:11" ht="45" hidden="1" x14ac:dyDescent="0.25">
      <c r="A343" s="43">
        <v>343</v>
      </c>
      <c r="B343" s="35" t="s">
        <v>383</v>
      </c>
      <c r="C343" s="52" t="str">
        <f>INDEX(Com_Scr!C:C,MATCH(Employee_Master!B:B,Com_Scr!B:B))</f>
        <v>AL NAJOUM EGG TRADING</v>
      </c>
      <c r="D343" s="38">
        <v>784199974742761</v>
      </c>
      <c r="E343" s="55" t="s">
        <v>922</v>
      </c>
      <c r="F343" s="30">
        <v>125925994</v>
      </c>
      <c r="G343" s="29">
        <v>46512</v>
      </c>
      <c r="H343" s="36">
        <v>46584</v>
      </c>
      <c r="I343" s="26"/>
      <c r="J343" s="26"/>
      <c r="K343" s="26"/>
    </row>
    <row r="344" spans="1:11" ht="45" hidden="1" x14ac:dyDescent="0.25">
      <c r="A344" s="43">
        <v>344</v>
      </c>
      <c r="B344" s="35" t="s">
        <v>383</v>
      </c>
      <c r="C344" s="52" t="str">
        <f>INDEX(Com_Scr!C:C,MATCH(Employee_Master!B:B,Com_Scr!B:B))</f>
        <v>AL NAJOUM EGG TRADING</v>
      </c>
      <c r="D344" s="38">
        <v>784199419252483</v>
      </c>
      <c r="E344" s="55" t="s">
        <v>923</v>
      </c>
      <c r="F344" s="30">
        <v>127887998</v>
      </c>
      <c r="G344" s="29">
        <v>46502</v>
      </c>
      <c r="H344" s="36">
        <v>46538</v>
      </c>
      <c r="I344" s="26"/>
      <c r="J344" s="26"/>
      <c r="K344" s="26"/>
    </row>
    <row r="345" spans="1:11" ht="30" hidden="1" x14ac:dyDescent="0.25">
      <c r="A345" s="43">
        <v>345</v>
      </c>
      <c r="B345" s="35" t="s">
        <v>383</v>
      </c>
      <c r="C345" s="52" t="str">
        <f>INDEX(Com_Scr!C:C,MATCH(Employee_Master!B:B,Com_Scr!B:B))</f>
        <v>AL NAJOUM EGG TRADING</v>
      </c>
      <c r="D345" s="38">
        <v>784199043063520</v>
      </c>
      <c r="E345" s="55" t="s">
        <v>924</v>
      </c>
      <c r="F345" s="30">
        <v>129629435</v>
      </c>
      <c r="G345" s="29">
        <v>46579</v>
      </c>
      <c r="H345" s="36">
        <v>46606</v>
      </c>
      <c r="I345" s="26"/>
      <c r="J345" s="26"/>
      <c r="K345" s="26"/>
    </row>
    <row r="346" spans="1:11" ht="45" hidden="1" x14ac:dyDescent="0.25">
      <c r="A346" s="43">
        <v>346</v>
      </c>
      <c r="B346" s="35" t="s">
        <v>933</v>
      </c>
      <c r="C346" s="52" t="str">
        <f>INDEX(Com_Scr!C:C,MATCH(Employee_Master!B:B,Com_Scr!B:B))</f>
        <v>CENTURY EXPRESS FREIGHT SERVICE L.L.C</v>
      </c>
      <c r="D346" s="38">
        <v>784199911876508</v>
      </c>
      <c r="E346" s="55" t="s">
        <v>925</v>
      </c>
      <c r="F346" s="30">
        <v>132127545</v>
      </c>
      <c r="G346" s="29">
        <v>46709</v>
      </c>
      <c r="H346" s="36">
        <v>46714</v>
      </c>
      <c r="I346" s="26"/>
      <c r="J346" s="26"/>
      <c r="K346" s="26"/>
    </row>
    <row r="347" spans="1:11" ht="30" hidden="1" x14ac:dyDescent="0.25">
      <c r="A347" s="43">
        <v>347</v>
      </c>
      <c r="B347" s="35" t="s">
        <v>933</v>
      </c>
      <c r="C347" s="52" t="str">
        <f>INDEX(Com_Scr!C:C,MATCH(Employee_Master!B:B,Com_Scr!B:B))</f>
        <v>CENTURY EXPRESS FREIGHT SERVICE L.L.C</v>
      </c>
      <c r="D347" s="38">
        <v>784198071329381</v>
      </c>
      <c r="E347" s="55" t="s">
        <v>926</v>
      </c>
      <c r="F347" s="30">
        <v>116493242</v>
      </c>
      <c r="G347" s="29">
        <v>46229</v>
      </c>
      <c r="H347" s="36">
        <v>46233</v>
      </c>
      <c r="I347" s="26"/>
      <c r="J347" s="26"/>
      <c r="K347" s="26"/>
    </row>
    <row r="348" spans="1:11" ht="45" hidden="1" x14ac:dyDescent="0.25">
      <c r="A348" s="43">
        <v>348</v>
      </c>
      <c r="B348" s="35" t="s">
        <v>933</v>
      </c>
      <c r="C348" s="52" t="str">
        <f>INDEX(Com_Scr!C:C,MATCH(Employee_Master!B:B,Com_Scr!B:B))</f>
        <v>CENTURY EXPRESS FREIGHT SERVICE L.L.C</v>
      </c>
      <c r="D348" s="38" t="s">
        <v>335</v>
      </c>
      <c r="E348" s="55" t="s">
        <v>927</v>
      </c>
      <c r="F348" s="30">
        <v>120436354</v>
      </c>
      <c r="G348" s="29">
        <v>46356</v>
      </c>
      <c r="H348" s="36"/>
      <c r="I348" s="26"/>
      <c r="J348" s="26"/>
      <c r="K348" s="26"/>
    </row>
    <row r="349" spans="1:11" ht="60" hidden="1" x14ac:dyDescent="0.25">
      <c r="A349" s="43">
        <v>349</v>
      </c>
      <c r="B349" s="35" t="s">
        <v>933</v>
      </c>
      <c r="C349" s="52" t="str">
        <f>INDEX(Com_Scr!C:C,MATCH(Employee_Master!B:B,Com_Scr!B:B))</f>
        <v>CENTURY EXPRESS FREIGHT SERVICE L.L.C</v>
      </c>
      <c r="D349" s="38" t="s">
        <v>335</v>
      </c>
      <c r="E349" s="55" t="s">
        <v>928</v>
      </c>
      <c r="F349" s="30">
        <v>130504777</v>
      </c>
      <c r="G349" s="29">
        <v>46633</v>
      </c>
      <c r="H349" s="36"/>
      <c r="I349" s="26"/>
      <c r="J349" s="26"/>
      <c r="K349" s="26"/>
    </row>
    <row r="350" spans="1:11" ht="30" hidden="1" x14ac:dyDescent="0.25">
      <c r="A350" s="43">
        <v>350</v>
      </c>
      <c r="B350" s="35" t="s">
        <v>933</v>
      </c>
      <c r="C350" s="52" t="str">
        <f>INDEX(Com_Scr!C:C,MATCH(Employee_Master!B:B,Com_Scr!B:B))</f>
        <v>CENTURY EXPRESS FREIGHT SERVICE L.L.C</v>
      </c>
      <c r="D350" s="38" t="s">
        <v>335</v>
      </c>
      <c r="E350" s="55" t="s">
        <v>929</v>
      </c>
      <c r="F350" s="30">
        <v>120134197</v>
      </c>
      <c r="G350" s="29">
        <v>46346</v>
      </c>
      <c r="H350" s="36"/>
      <c r="I350" s="26"/>
      <c r="J350" s="26"/>
      <c r="K350" s="26"/>
    </row>
    <row r="351" spans="1:11" ht="30" hidden="1" x14ac:dyDescent="0.25">
      <c r="A351" s="43">
        <v>351</v>
      </c>
      <c r="B351" s="35" t="s">
        <v>933</v>
      </c>
      <c r="C351" s="52" t="str">
        <f>INDEX(Com_Scr!C:C,MATCH(Employee_Master!B:B,Com_Scr!B:B))</f>
        <v>CENTURY EXPRESS FREIGHT SERVICE L.L.C</v>
      </c>
      <c r="D351" s="38" t="s">
        <v>335</v>
      </c>
      <c r="E351" s="55" t="s">
        <v>930</v>
      </c>
      <c r="F351" s="30">
        <v>119951145</v>
      </c>
      <c r="G351" s="29">
        <v>46340</v>
      </c>
      <c r="H351" s="36"/>
      <c r="I351" s="26"/>
      <c r="J351" s="26"/>
      <c r="K351" s="26"/>
    </row>
    <row r="352" spans="1:11" ht="30" hidden="1" x14ac:dyDescent="0.25">
      <c r="A352" s="43">
        <v>352</v>
      </c>
      <c r="B352" s="35" t="s">
        <v>933</v>
      </c>
      <c r="C352" s="52" t="str">
        <f>INDEX(Com_Scr!C:C,MATCH(Employee_Master!B:B,Com_Scr!B:B))</f>
        <v>CENTURY EXPRESS FREIGHT SERVICE L.L.C</v>
      </c>
      <c r="D352" s="38">
        <v>784197962592107</v>
      </c>
      <c r="E352" s="55" t="s">
        <v>931</v>
      </c>
      <c r="F352" s="30">
        <v>137151917</v>
      </c>
      <c r="G352" s="29">
        <v>46826</v>
      </c>
      <c r="H352" s="36">
        <v>46832</v>
      </c>
      <c r="I352" s="26"/>
      <c r="J352" s="26"/>
      <c r="K352" s="26"/>
    </row>
    <row r="353" spans="1:18" ht="30" hidden="1" x14ac:dyDescent="0.25">
      <c r="A353" s="43">
        <v>353</v>
      </c>
      <c r="B353" s="35" t="s">
        <v>933</v>
      </c>
      <c r="C353" s="52" t="str">
        <f>INDEX(Com_Scr!C:C,MATCH(Employee_Master!B:B,Com_Scr!B:B))</f>
        <v>CENTURY EXPRESS FREIGHT SERVICE L.L.C</v>
      </c>
      <c r="D353" s="38">
        <v>784197129074940</v>
      </c>
      <c r="E353" s="55" t="s">
        <v>934</v>
      </c>
      <c r="F353" s="30">
        <v>120485920</v>
      </c>
      <c r="G353" s="29">
        <v>46402</v>
      </c>
      <c r="H353" s="36">
        <v>46360</v>
      </c>
      <c r="I353" s="26"/>
      <c r="J353" s="26"/>
      <c r="K353" s="26"/>
    </row>
    <row r="354" spans="1:18" ht="60" hidden="1" x14ac:dyDescent="0.25">
      <c r="A354" s="43">
        <v>354</v>
      </c>
      <c r="B354" s="35" t="s">
        <v>933</v>
      </c>
      <c r="C354" s="52" t="str">
        <f>INDEX(Com_Scr!C:C,MATCH(Employee_Master!B:B,Com_Scr!B:B))</f>
        <v>CENTURY EXPRESS FREIGHT SERVICE L.L.C</v>
      </c>
      <c r="D354" s="38">
        <v>784200388216200</v>
      </c>
      <c r="E354" s="55" t="s">
        <v>935</v>
      </c>
      <c r="F354" s="30">
        <v>120332100</v>
      </c>
      <c r="G354" s="29">
        <v>46346</v>
      </c>
      <c r="H354" s="36">
        <v>46354</v>
      </c>
      <c r="I354" s="26"/>
      <c r="J354" s="26"/>
      <c r="K354" s="26"/>
    </row>
    <row r="355" spans="1:18" ht="30" hidden="1" x14ac:dyDescent="0.25">
      <c r="A355" s="43">
        <v>355</v>
      </c>
      <c r="B355" s="35" t="s">
        <v>933</v>
      </c>
      <c r="C355" s="52" t="str">
        <f>INDEX(Com_Scr!C:C,MATCH(Employee_Master!B:B,Com_Scr!B:B))</f>
        <v>CENTURY EXPRESS FREIGHT SERVICE L.L.C</v>
      </c>
      <c r="D355" s="38">
        <v>784199374620484</v>
      </c>
      <c r="E355" s="55" t="s">
        <v>936</v>
      </c>
      <c r="F355" s="30">
        <v>134818573</v>
      </c>
      <c r="G355" s="29">
        <v>46764</v>
      </c>
      <c r="H355" s="36">
        <v>46756</v>
      </c>
      <c r="I355" s="26"/>
      <c r="J355" s="26"/>
      <c r="K355" s="26"/>
      <c r="R355">
        <v>100</v>
      </c>
    </row>
    <row r="356" spans="1:18" ht="45" hidden="1" x14ac:dyDescent="0.25">
      <c r="A356" s="43">
        <v>356</v>
      </c>
      <c r="B356" s="35" t="s">
        <v>933</v>
      </c>
      <c r="C356" s="52" t="str">
        <f>INDEX(Com_Scr!C:C,MATCH(Employee_Master!B:B,Com_Scr!B:B))</f>
        <v>CENTURY EXPRESS FREIGHT SERVICE L.L.C</v>
      </c>
      <c r="D356" s="38">
        <v>784198945799363</v>
      </c>
      <c r="E356" s="55" t="s">
        <v>937</v>
      </c>
      <c r="F356" s="30">
        <v>126992472</v>
      </c>
      <c r="G356" s="29">
        <v>46538</v>
      </c>
      <c r="H356" s="36">
        <v>46542</v>
      </c>
      <c r="I356" s="26"/>
      <c r="J356" s="26"/>
      <c r="K356" s="26"/>
    </row>
    <row r="357" spans="1:18" ht="30" hidden="1" x14ac:dyDescent="0.25">
      <c r="A357" s="43">
        <v>357</v>
      </c>
      <c r="B357" s="35" t="s">
        <v>933</v>
      </c>
      <c r="C357" s="52" t="str">
        <f>INDEX(Com_Scr!C:C,MATCH(Employee_Master!B:B,Com_Scr!B:B))</f>
        <v>CENTURY EXPRESS FREIGHT SERVICE L.L.C</v>
      </c>
      <c r="D357" s="38">
        <v>784197103707150</v>
      </c>
      <c r="E357" s="55" t="s">
        <v>938</v>
      </c>
      <c r="F357" s="30">
        <v>116901481</v>
      </c>
      <c r="G357" s="29">
        <v>46198</v>
      </c>
      <c r="H357" s="36">
        <v>46308</v>
      </c>
      <c r="I357" s="26"/>
      <c r="J357" s="26"/>
      <c r="K357" s="26"/>
    </row>
    <row r="358" spans="1:18" ht="45" hidden="1" x14ac:dyDescent="0.25">
      <c r="A358" s="43">
        <v>358</v>
      </c>
      <c r="B358" s="35" t="s">
        <v>940</v>
      </c>
      <c r="C358" s="52" t="str">
        <f>INDEX(Com_Scr!C:C,MATCH(Employee_Master!B:B,Com_Scr!B:B))</f>
        <v>CENTURY EXPRESS FREIGHT SERVICE L.L.C- BRANCH</v>
      </c>
      <c r="D358" s="38"/>
      <c r="E358" s="55" t="s">
        <v>941</v>
      </c>
      <c r="F358" s="30">
        <v>123453410</v>
      </c>
      <c r="G358" s="29">
        <v>46443</v>
      </c>
      <c r="H358" s="36"/>
      <c r="I358" s="26"/>
      <c r="J358" s="26"/>
      <c r="K358" s="26"/>
    </row>
    <row r="359" spans="1:18" ht="45" hidden="1" x14ac:dyDescent="0.25">
      <c r="A359" s="43">
        <v>359</v>
      </c>
      <c r="B359" s="35" t="s">
        <v>940</v>
      </c>
      <c r="C359" s="52" t="str">
        <f>INDEX(Com_Scr!C:C,MATCH(Employee_Master!B:B,Com_Scr!B:B))</f>
        <v>CENTURY EXPRESS FREIGHT SERVICE L.L.C- BRANCH</v>
      </c>
      <c r="D359" s="38"/>
      <c r="E359" s="55" t="s">
        <v>942</v>
      </c>
      <c r="F359" s="30">
        <v>123630464</v>
      </c>
      <c r="G359" s="29">
        <v>46448</v>
      </c>
      <c r="H359" s="36"/>
      <c r="I359" s="26"/>
      <c r="J359" s="26"/>
      <c r="K359" s="26"/>
    </row>
    <row r="360" spans="1:18" ht="60" hidden="1" x14ac:dyDescent="0.25">
      <c r="A360" s="43">
        <v>360</v>
      </c>
      <c r="B360" s="35" t="s">
        <v>940</v>
      </c>
      <c r="C360" s="52" t="str">
        <f>INDEX(Com_Scr!C:C,MATCH(Employee_Master!B:B,Com_Scr!B:B))</f>
        <v>CENTURY EXPRESS FREIGHT SERVICE L.L.C- BRANCH</v>
      </c>
      <c r="D360" s="38"/>
      <c r="E360" s="55" t="s">
        <v>943</v>
      </c>
      <c r="F360" s="30">
        <v>135710551</v>
      </c>
      <c r="G360" s="29">
        <v>46782</v>
      </c>
      <c r="H360" s="36"/>
      <c r="I360" s="26"/>
      <c r="J360" s="26"/>
      <c r="K360" s="26"/>
    </row>
    <row r="361" spans="1:18" ht="45" hidden="1" x14ac:dyDescent="0.25">
      <c r="A361" s="43">
        <v>361</v>
      </c>
      <c r="B361" s="35" t="s">
        <v>359</v>
      </c>
      <c r="C361" s="52" t="str">
        <f>INDEX(Com_Scr!C:C,MATCH(Employee_Master!B:B,Com_Scr!B:B))</f>
        <v>DATTA HUJWIRI RESTAURANT - L.L.C - S.P.C</v>
      </c>
      <c r="D361" s="38">
        <v>784200020320626</v>
      </c>
      <c r="E361" s="55" t="s">
        <v>944</v>
      </c>
      <c r="F361" s="30">
        <v>129552464</v>
      </c>
      <c r="G361" s="29">
        <v>46654</v>
      </c>
      <c r="H361" s="36">
        <v>46661</v>
      </c>
      <c r="I361" s="26"/>
      <c r="J361" s="26"/>
      <c r="K361" s="26"/>
    </row>
    <row r="362" spans="1:18" ht="45" hidden="1" x14ac:dyDescent="0.25">
      <c r="A362" s="43">
        <v>363</v>
      </c>
      <c r="B362" s="35" t="s">
        <v>359</v>
      </c>
      <c r="C362" s="52" t="str">
        <f>INDEX(Com_Scr!C:C,MATCH(Employee_Master!B:B,Com_Scr!B:B))</f>
        <v>DATTA HUJWIRI RESTAURANT - L.L.C - S.P.C</v>
      </c>
      <c r="D362" s="38">
        <v>784200057803908</v>
      </c>
      <c r="E362" s="55" t="s">
        <v>946</v>
      </c>
      <c r="F362" s="30">
        <v>132051831</v>
      </c>
      <c r="G362" s="29">
        <v>46712</v>
      </c>
      <c r="H362" s="36">
        <v>46723</v>
      </c>
      <c r="I362" s="26"/>
      <c r="J362" s="26"/>
      <c r="K362" s="26"/>
    </row>
    <row r="363" spans="1:18" ht="45" hidden="1" x14ac:dyDescent="0.25">
      <c r="A363" s="43">
        <v>364</v>
      </c>
      <c r="B363" s="35" t="s">
        <v>359</v>
      </c>
      <c r="C363" s="52" t="str">
        <f>INDEX(Com_Scr!C:C,MATCH(Employee_Master!B:B,Com_Scr!B:B))</f>
        <v>DATTA HUJWIRI RESTAURANT - L.L.C - S.P.C</v>
      </c>
      <c r="D363" s="38">
        <v>784198569704806</v>
      </c>
      <c r="E363" s="55" t="s">
        <v>947</v>
      </c>
      <c r="F363" s="30">
        <v>134997736</v>
      </c>
      <c r="G363" s="29">
        <v>46764</v>
      </c>
      <c r="H363" s="36">
        <v>46779</v>
      </c>
      <c r="I363" s="26"/>
      <c r="J363" s="26"/>
      <c r="K363" s="26"/>
      <c r="R363">
        <v>158</v>
      </c>
    </row>
    <row r="364" spans="1:18" ht="45" hidden="1" x14ac:dyDescent="0.25">
      <c r="A364" s="43">
        <v>365</v>
      </c>
      <c r="B364" s="35" t="s">
        <v>359</v>
      </c>
      <c r="C364" s="52" t="str">
        <f>INDEX(Com_Scr!C:C,MATCH(Employee_Master!B:B,Com_Scr!B:B))</f>
        <v>DATTA HUJWIRI RESTAURANT - L.L.C - S.P.C</v>
      </c>
      <c r="D364" s="38">
        <v>784198033400726</v>
      </c>
      <c r="E364" s="55" t="s">
        <v>949</v>
      </c>
      <c r="F364" s="30">
        <v>116495799</v>
      </c>
      <c r="G364" s="29">
        <v>46229</v>
      </c>
      <c r="H364" s="36">
        <v>46234</v>
      </c>
      <c r="I364" s="26"/>
      <c r="J364" s="26"/>
      <c r="K364" s="26"/>
    </row>
    <row r="365" spans="1:18" ht="30" hidden="1" x14ac:dyDescent="0.25">
      <c r="A365" s="43">
        <v>365</v>
      </c>
      <c r="B365" s="35" t="s">
        <v>389</v>
      </c>
      <c r="C365" s="52" t="str">
        <f>INDEX(Com_Scr!C:C,MATCH(Employee_Master!B:B,Com_Scr!B:B))</f>
        <v>KIRAT GENERAL TRANSPORT-L.L.C</v>
      </c>
      <c r="D365" s="38">
        <v>784199721811612</v>
      </c>
      <c r="E365" s="55" t="s">
        <v>886</v>
      </c>
      <c r="F365" s="30">
        <v>117273069</v>
      </c>
      <c r="G365" s="29">
        <v>46256</v>
      </c>
      <c r="H365" s="36">
        <v>46268</v>
      </c>
      <c r="I365" s="26"/>
      <c r="J365" s="26"/>
      <c r="K365" s="26"/>
    </row>
    <row r="366" spans="1:18" ht="45" hidden="1" x14ac:dyDescent="0.25">
      <c r="A366" s="43">
        <v>365</v>
      </c>
      <c r="B366" s="35" t="s">
        <v>359</v>
      </c>
      <c r="C366" s="52" t="str">
        <f>INDEX(Com_Scr!C:C,MATCH(Employee_Master!B:B,Com_Scr!B:B))</f>
        <v>DATTA HUJWIRI RESTAURANT - L.L.C - S.P.C</v>
      </c>
      <c r="D366" s="38">
        <v>784199084352113</v>
      </c>
      <c r="E366" s="55" t="s">
        <v>945</v>
      </c>
      <c r="F366" s="30">
        <v>119345889</v>
      </c>
      <c r="G366" s="29">
        <v>46323</v>
      </c>
      <c r="H366" s="36">
        <v>46333</v>
      </c>
      <c r="I366" s="26"/>
      <c r="J366" s="26"/>
      <c r="K366" s="26"/>
    </row>
    <row r="367" spans="1:18" ht="30" hidden="1" x14ac:dyDescent="0.25">
      <c r="A367" s="43">
        <v>366</v>
      </c>
      <c r="B367" s="35" t="s">
        <v>435</v>
      </c>
      <c r="C367" s="52" t="str">
        <f>INDEX(Com_Scr!C:C,MATCH(Employee_Master!B:B,Com_Scr!B:B))</f>
        <v>GREEN CORNER CAFETERIA SPC L L C</v>
      </c>
      <c r="D367" s="38" t="s">
        <v>973</v>
      </c>
      <c r="E367" s="55" t="s">
        <v>950</v>
      </c>
      <c r="F367" s="30">
        <v>134961077</v>
      </c>
      <c r="G367" s="29">
        <v>46398</v>
      </c>
      <c r="H367" s="36" t="s">
        <v>348</v>
      </c>
      <c r="I367" s="26"/>
      <c r="J367" s="26"/>
      <c r="K367" s="26"/>
    </row>
    <row r="368" spans="1:18" ht="30" hidden="1" x14ac:dyDescent="0.25">
      <c r="A368" s="43">
        <v>367</v>
      </c>
      <c r="B368" s="35" t="s">
        <v>435</v>
      </c>
      <c r="C368" s="52" t="str">
        <f>INDEX(Com_Scr!C:C,MATCH(Employee_Master!B:B,Com_Scr!B:B))</f>
        <v>GREEN CORNER CAFETERIA SPC L L C</v>
      </c>
      <c r="D368" s="38">
        <v>784200187416506</v>
      </c>
      <c r="E368" s="55" t="s">
        <v>951</v>
      </c>
      <c r="F368" s="30">
        <v>113798446</v>
      </c>
      <c r="G368" s="29">
        <v>46129</v>
      </c>
      <c r="H368" s="36">
        <v>46150</v>
      </c>
      <c r="I368" s="26"/>
      <c r="J368" s="26"/>
      <c r="K368" s="26"/>
    </row>
    <row r="369" spans="1:18" ht="30" hidden="1" x14ac:dyDescent="0.25">
      <c r="A369" s="43">
        <v>368</v>
      </c>
      <c r="B369" s="35" t="s">
        <v>435</v>
      </c>
      <c r="C369" s="52" t="str">
        <f>INDEX(Com_Scr!C:C,MATCH(Employee_Master!B:B,Com_Scr!B:B))</f>
        <v>GREEN CORNER CAFETERIA SPC L L C</v>
      </c>
      <c r="D369" s="38">
        <v>784197156855401</v>
      </c>
      <c r="E369" s="55" t="s">
        <v>952</v>
      </c>
      <c r="F369" s="30">
        <v>122263121</v>
      </c>
      <c r="G369" s="29">
        <v>46409</v>
      </c>
      <c r="H369" s="36">
        <v>46425</v>
      </c>
      <c r="I369" s="26"/>
      <c r="J369" s="26"/>
      <c r="K369" s="26"/>
    </row>
    <row r="370" spans="1:18" ht="45" hidden="1" x14ac:dyDescent="0.25">
      <c r="A370" s="43">
        <v>369</v>
      </c>
      <c r="B370" s="35" t="s">
        <v>435</v>
      </c>
      <c r="C370" s="52" t="str">
        <f>INDEX(Com_Scr!C:C,MATCH(Employee_Master!B:B,Com_Scr!B:B))</f>
        <v>GREEN CORNER CAFETERIA SPC L L C</v>
      </c>
      <c r="D370" s="38">
        <v>784199824949061</v>
      </c>
      <c r="E370" s="55" t="s">
        <v>953</v>
      </c>
      <c r="F370" s="30">
        <v>117186469</v>
      </c>
      <c r="G370" s="29">
        <v>46254</v>
      </c>
      <c r="H370" s="36">
        <v>46285</v>
      </c>
      <c r="I370" s="26"/>
      <c r="J370" s="26"/>
      <c r="K370" s="26"/>
    </row>
    <row r="371" spans="1:18" ht="30" hidden="1" x14ac:dyDescent="0.25">
      <c r="A371" s="43">
        <v>370</v>
      </c>
      <c r="B371" s="35" t="s">
        <v>435</v>
      </c>
      <c r="C371" s="52" t="str">
        <f>INDEX(Com_Scr!C:C,MATCH(Employee_Master!B:B,Com_Scr!B:B))</f>
        <v>GREEN CORNER CAFETERIA SPC L L C</v>
      </c>
      <c r="D371" s="38">
        <v>257503256</v>
      </c>
      <c r="E371" s="55" t="s">
        <v>954</v>
      </c>
      <c r="F371" s="30">
        <v>137985878</v>
      </c>
      <c r="G371" s="29">
        <v>46162</v>
      </c>
      <c r="H371" s="36">
        <v>46192</v>
      </c>
      <c r="I371" s="26"/>
      <c r="J371" s="26"/>
      <c r="K371" s="26"/>
    </row>
    <row r="372" spans="1:18" ht="30" hidden="1" x14ac:dyDescent="0.25">
      <c r="A372" s="43">
        <v>371</v>
      </c>
      <c r="B372" s="35" t="s">
        <v>435</v>
      </c>
      <c r="C372" s="52" t="str">
        <f>INDEX(Com_Scr!C:C,MATCH(Employee_Master!B:B,Com_Scr!B:B))</f>
        <v>GREEN CORNER CAFETERIA SPC L L C</v>
      </c>
      <c r="D372" s="38">
        <v>784198240759807</v>
      </c>
      <c r="E372" s="55" t="s">
        <v>955</v>
      </c>
      <c r="F372" s="30">
        <v>124005738</v>
      </c>
      <c r="G372" s="29">
        <v>46427</v>
      </c>
      <c r="H372" s="36">
        <v>46446</v>
      </c>
      <c r="I372" s="26"/>
      <c r="J372" s="26"/>
      <c r="K372" s="26"/>
    </row>
    <row r="373" spans="1:18" ht="45" hidden="1" x14ac:dyDescent="0.25">
      <c r="A373" s="43">
        <v>372</v>
      </c>
      <c r="B373" s="35" t="s">
        <v>435</v>
      </c>
      <c r="C373" s="52" t="str">
        <f>INDEX(Com_Scr!C:C,MATCH(Employee_Master!B:B,Com_Scr!B:B))</f>
        <v>GREEN CORNER CAFETERIA SPC L L C</v>
      </c>
      <c r="D373" s="38">
        <v>784198814735746</v>
      </c>
      <c r="E373" s="55" t="s">
        <v>956</v>
      </c>
      <c r="F373" s="30">
        <v>131926740</v>
      </c>
      <c r="G373" s="29">
        <v>46657</v>
      </c>
      <c r="H373" s="36">
        <v>46669</v>
      </c>
      <c r="I373" s="26"/>
      <c r="J373" s="26"/>
      <c r="K373" s="26"/>
    </row>
    <row r="374" spans="1:18" ht="45" hidden="1" x14ac:dyDescent="0.25">
      <c r="A374" s="43">
        <v>373</v>
      </c>
      <c r="B374" s="35" t="s">
        <v>435</v>
      </c>
      <c r="C374" s="52" t="str">
        <f>INDEX(Com_Scr!C:C,MATCH(Employee_Master!B:B,Com_Scr!B:B))</f>
        <v>GREEN CORNER CAFETERIA SPC L L C</v>
      </c>
      <c r="D374" s="38">
        <v>784199404654313</v>
      </c>
      <c r="E374" s="55" t="s">
        <v>957</v>
      </c>
      <c r="F374" s="30">
        <v>137980669</v>
      </c>
      <c r="G374" s="29">
        <v>46825</v>
      </c>
      <c r="H374" s="36">
        <v>46864</v>
      </c>
      <c r="I374" s="26"/>
      <c r="J374" s="26"/>
      <c r="K374" s="26"/>
      <c r="R374">
        <v>73</v>
      </c>
    </row>
    <row r="375" spans="1:18" ht="30" hidden="1" x14ac:dyDescent="0.25">
      <c r="A375" s="43">
        <v>374</v>
      </c>
      <c r="B375" s="35" t="s">
        <v>435</v>
      </c>
      <c r="C375" s="52" t="str">
        <f>INDEX(Com_Scr!C:C,MATCH(Employee_Master!B:B,Com_Scr!B:B))</f>
        <v>GREEN CORNER CAFETERIA SPC L L C</v>
      </c>
      <c r="D375" s="38">
        <v>784198989422146</v>
      </c>
      <c r="E375" s="55" t="s">
        <v>958</v>
      </c>
      <c r="F375" s="30">
        <v>126344639</v>
      </c>
      <c r="G375" s="29">
        <v>46484</v>
      </c>
      <c r="H375" s="36">
        <v>46498</v>
      </c>
      <c r="I375" s="26"/>
      <c r="J375" s="26"/>
      <c r="K375" s="26"/>
    </row>
    <row r="376" spans="1:18" ht="30" hidden="1" x14ac:dyDescent="0.25">
      <c r="A376" s="43">
        <v>375</v>
      </c>
      <c r="B376" s="35" t="s">
        <v>435</v>
      </c>
      <c r="C376" s="52" t="str">
        <f>INDEX(Com_Scr!C:C,MATCH(Employee_Master!B:B,Com_Scr!B:B))</f>
        <v>GREEN CORNER CAFETERIA SPC L L C</v>
      </c>
      <c r="D376" s="38">
        <v>784199768607055</v>
      </c>
      <c r="E376" s="55" t="s">
        <v>959</v>
      </c>
      <c r="F376" s="30">
        <v>126812212</v>
      </c>
      <c r="G376" s="29">
        <v>46480</v>
      </c>
      <c r="H376" s="36">
        <v>46541</v>
      </c>
      <c r="I376" s="26"/>
      <c r="J376" s="26"/>
      <c r="K376" s="26"/>
    </row>
    <row r="377" spans="1:18" ht="30" hidden="1" x14ac:dyDescent="0.25">
      <c r="A377" s="43">
        <v>376</v>
      </c>
      <c r="B377" s="35" t="s">
        <v>435</v>
      </c>
      <c r="C377" s="52" t="str">
        <f>INDEX(Com_Scr!C:C,MATCH(Employee_Master!B:B,Com_Scr!B:B))</f>
        <v>GREEN CORNER CAFETERIA SPC L L C</v>
      </c>
      <c r="D377" s="38">
        <v>784198635738598</v>
      </c>
      <c r="E377" s="55" t="s">
        <v>960</v>
      </c>
      <c r="F377" s="30">
        <v>120439372</v>
      </c>
      <c r="G377" s="29">
        <v>46297</v>
      </c>
      <c r="H377" s="36">
        <v>46328</v>
      </c>
      <c r="I377" s="26"/>
      <c r="J377" s="26"/>
      <c r="K377" s="26"/>
    </row>
    <row r="378" spans="1:18" ht="30" hidden="1" x14ac:dyDescent="0.25">
      <c r="A378" s="43">
        <v>377</v>
      </c>
      <c r="B378" s="35" t="s">
        <v>435</v>
      </c>
      <c r="C378" s="52" t="str">
        <f>INDEX(Com_Scr!C:C,MATCH(Employee_Master!B:B,Com_Scr!B:B))</f>
        <v>GREEN CORNER CAFETERIA SPC L L C</v>
      </c>
      <c r="D378" s="38">
        <v>784198449376502</v>
      </c>
      <c r="E378" s="55" t="s">
        <v>961</v>
      </c>
      <c r="F378" s="30">
        <v>135855809</v>
      </c>
      <c r="G378" s="29">
        <v>46731</v>
      </c>
      <c r="H378" s="36">
        <v>46780</v>
      </c>
      <c r="I378" s="26"/>
      <c r="J378" s="26"/>
      <c r="K378" s="26"/>
    </row>
    <row r="379" spans="1:18" ht="45" hidden="1" x14ac:dyDescent="0.25">
      <c r="A379" s="43">
        <v>378</v>
      </c>
      <c r="B379" s="43" t="s">
        <v>974</v>
      </c>
      <c r="C379" s="52" t="str">
        <f>INDEX(Com_Scr!C:C,MATCH(Employee_Master!B:B,Com_Scr!B:B))</f>
        <v>LINEAR OPTICS SOLE PROPRIETORSHIP L.L.C</v>
      </c>
      <c r="D379" s="44" t="s">
        <v>969</v>
      </c>
      <c r="E379" s="55" t="s">
        <v>976</v>
      </c>
      <c r="F379" s="30">
        <v>127882060</v>
      </c>
      <c r="G379" s="29">
        <v>46564</v>
      </c>
      <c r="H379" s="36" t="s">
        <v>717</v>
      </c>
      <c r="I379" s="26"/>
      <c r="J379" s="26"/>
      <c r="K379" s="26"/>
    </row>
    <row r="380" spans="1:18" ht="45" hidden="1" x14ac:dyDescent="0.25">
      <c r="A380" s="43">
        <v>379</v>
      </c>
      <c r="B380" s="43" t="s">
        <v>974</v>
      </c>
      <c r="C380" s="52" t="str">
        <f>INDEX(Com_Scr!C:C,MATCH(Employee_Master!B:B,Com_Scr!B:B))</f>
        <v>LINEAR OPTICS SOLE PROPRIETORSHIP L.L.C</v>
      </c>
      <c r="D380" s="38">
        <v>784199381439670</v>
      </c>
      <c r="E380" s="55" t="s">
        <v>978</v>
      </c>
      <c r="F380" s="30">
        <v>128144201</v>
      </c>
      <c r="G380" s="29">
        <v>46538</v>
      </c>
      <c r="H380" s="36">
        <v>46543</v>
      </c>
      <c r="I380" s="26"/>
      <c r="J380" s="26"/>
      <c r="K380" s="26"/>
    </row>
    <row r="381" spans="1:18" ht="45" hidden="1" x14ac:dyDescent="0.25">
      <c r="A381" s="43">
        <v>380</v>
      </c>
      <c r="B381" s="43" t="s">
        <v>974</v>
      </c>
      <c r="C381" s="52" t="str">
        <f>INDEX(Com_Scr!C:C,MATCH(Employee_Master!B:B,Com_Scr!B:B))</f>
        <v>LINEAR OPTICS SOLE PROPRIETORSHIP L.L.C</v>
      </c>
      <c r="D381" s="38">
        <v>784199381439670</v>
      </c>
      <c r="E381" s="55" t="s">
        <v>979</v>
      </c>
      <c r="F381" s="30">
        <v>137554088</v>
      </c>
      <c r="G381" s="29">
        <v>46814</v>
      </c>
      <c r="H381" s="36">
        <v>46818</v>
      </c>
      <c r="I381" s="26"/>
      <c r="J381" s="26"/>
      <c r="K381" s="26"/>
    </row>
    <row r="382" spans="1:18" hidden="1" x14ac:dyDescent="0.25">
      <c r="A382" s="43">
        <v>381</v>
      </c>
      <c r="B382" s="43"/>
      <c r="C382" s="59"/>
      <c r="D382" s="38"/>
      <c r="E382" s="53"/>
      <c r="F382" s="26"/>
      <c r="G382" s="29"/>
      <c r="H382" s="36"/>
      <c r="I382" s="26"/>
      <c r="J382" s="26"/>
      <c r="K382" s="26"/>
    </row>
    <row r="383" spans="1:18" hidden="1" x14ac:dyDescent="0.25">
      <c r="A383" s="43">
        <v>382</v>
      </c>
      <c r="B383" s="43"/>
      <c r="C383" s="59"/>
      <c r="D383" s="38"/>
      <c r="E383" s="53"/>
      <c r="F383" s="26"/>
      <c r="G383" s="29"/>
      <c r="H383" s="36"/>
      <c r="I383" s="26"/>
      <c r="J383" s="26"/>
      <c r="K383" s="26"/>
    </row>
    <row r="384" spans="1:18" hidden="1" x14ac:dyDescent="0.25">
      <c r="A384" s="43">
        <v>383</v>
      </c>
      <c r="B384" s="43"/>
      <c r="C384" s="59"/>
      <c r="D384" s="38"/>
      <c r="E384" s="53"/>
      <c r="F384" s="26"/>
      <c r="G384" s="29"/>
      <c r="H384" s="36"/>
      <c r="I384" s="26"/>
      <c r="J384" s="26"/>
      <c r="K384" s="26"/>
    </row>
    <row r="385" spans="1:11" hidden="1" x14ac:dyDescent="0.25">
      <c r="A385" s="43">
        <v>384</v>
      </c>
      <c r="B385" s="43"/>
      <c r="C385" s="59"/>
      <c r="D385" s="38"/>
      <c r="E385" s="53"/>
      <c r="F385" s="26"/>
      <c r="G385" s="29"/>
      <c r="H385" s="36"/>
      <c r="I385" s="26"/>
      <c r="J385" s="26"/>
      <c r="K385" s="26"/>
    </row>
    <row r="386" spans="1:11" hidden="1" x14ac:dyDescent="0.25">
      <c r="A386" s="43">
        <v>385</v>
      </c>
      <c r="B386" s="43"/>
      <c r="C386" s="59"/>
      <c r="D386" s="38"/>
      <c r="E386" s="53"/>
      <c r="F386" s="26"/>
      <c r="G386" s="29"/>
      <c r="H386" s="36"/>
      <c r="I386" s="26"/>
      <c r="J386" s="26"/>
      <c r="K386" s="26"/>
    </row>
    <row r="387" spans="1:11" hidden="1" x14ac:dyDescent="0.25">
      <c r="A387" s="43">
        <v>386</v>
      </c>
      <c r="B387" s="43"/>
      <c r="C387" s="59"/>
      <c r="D387" s="38"/>
      <c r="E387" s="53"/>
      <c r="F387" s="26"/>
      <c r="G387" s="29"/>
      <c r="H387" s="36"/>
      <c r="I387" s="26"/>
      <c r="J387" s="26"/>
      <c r="K387" s="26"/>
    </row>
    <row r="388" spans="1:11" hidden="1" x14ac:dyDescent="0.25">
      <c r="A388" s="43">
        <v>387</v>
      </c>
      <c r="B388" s="43"/>
      <c r="C388" s="59"/>
      <c r="D388" s="38"/>
      <c r="E388" s="53"/>
      <c r="F388" s="26"/>
      <c r="G388" s="29"/>
      <c r="H388" s="36"/>
      <c r="I388" s="26"/>
      <c r="J388" s="26"/>
      <c r="K388" s="26"/>
    </row>
    <row r="389" spans="1:11" hidden="1" x14ac:dyDescent="0.25">
      <c r="A389" s="43">
        <v>388</v>
      </c>
      <c r="B389" s="43"/>
      <c r="C389" s="59"/>
      <c r="D389" s="38"/>
      <c r="E389" s="53"/>
      <c r="F389" s="26"/>
      <c r="G389" s="29"/>
      <c r="H389" s="36"/>
      <c r="I389" s="26"/>
      <c r="J389" s="26"/>
      <c r="K389" s="26"/>
    </row>
    <row r="390" spans="1:11" hidden="1" x14ac:dyDescent="0.25">
      <c r="A390" s="43">
        <v>389</v>
      </c>
      <c r="B390" s="43"/>
      <c r="C390" s="59"/>
      <c r="D390" s="38"/>
      <c r="E390" s="53"/>
      <c r="F390" s="26"/>
      <c r="G390" s="29"/>
      <c r="H390" s="36"/>
      <c r="I390" s="26"/>
      <c r="J390" s="26"/>
      <c r="K390" s="26"/>
    </row>
    <row r="391" spans="1:11" hidden="1" x14ac:dyDescent="0.25">
      <c r="A391" s="43">
        <v>390</v>
      </c>
      <c r="B391" s="43"/>
      <c r="C391" s="59"/>
      <c r="D391" s="38"/>
      <c r="E391" s="53"/>
      <c r="F391" s="26"/>
      <c r="G391" s="29"/>
      <c r="H391" s="36"/>
      <c r="I391" s="26"/>
      <c r="J391" s="26"/>
      <c r="K391" s="26"/>
    </row>
    <row r="392" spans="1:11" hidden="1" x14ac:dyDescent="0.25">
      <c r="A392" s="43">
        <v>391</v>
      </c>
      <c r="B392" s="43"/>
      <c r="C392" s="59"/>
      <c r="D392" s="38"/>
      <c r="E392" s="53"/>
      <c r="F392" s="26"/>
      <c r="G392" s="29"/>
      <c r="H392" s="36"/>
      <c r="I392" s="26"/>
      <c r="J392" s="26"/>
      <c r="K392" s="26"/>
    </row>
    <row r="393" spans="1:11" x14ac:dyDescent="0.25">
      <c r="G393" s="21"/>
    </row>
    <row r="394" spans="1:11" x14ac:dyDescent="0.25">
      <c r="G394" s="21"/>
    </row>
    <row r="395" spans="1:11" x14ac:dyDescent="0.25">
      <c r="G395" s="21"/>
    </row>
    <row r="396" spans="1:11" x14ac:dyDescent="0.25">
      <c r="G396" s="21"/>
    </row>
    <row r="397" spans="1:11" x14ac:dyDescent="0.25">
      <c r="G397" s="21"/>
    </row>
    <row r="398" spans="1:11" x14ac:dyDescent="0.25">
      <c r="G398" s="21"/>
    </row>
    <row r="399" spans="1:11" x14ac:dyDescent="0.25">
      <c r="G399" s="21"/>
    </row>
    <row r="400" spans="1:11" x14ac:dyDescent="0.25">
      <c r="G400" s="21"/>
    </row>
    <row r="401" spans="7:7" x14ac:dyDescent="0.25">
      <c r="G401" s="21"/>
    </row>
    <row r="402" spans="7:7" x14ac:dyDescent="0.25">
      <c r="G402" s="21"/>
    </row>
    <row r="403" spans="7:7" x14ac:dyDescent="0.25">
      <c r="G403" s="21"/>
    </row>
    <row r="404" spans="7:7" x14ac:dyDescent="0.25">
      <c r="G404" s="21"/>
    </row>
    <row r="405" spans="7:7" x14ac:dyDescent="0.25">
      <c r="G405" s="21"/>
    </row>
    <row r="406" spans="7:7" x14ac:dyDescent="0.25">
      <c r="G406" s="21"/>
    </row>
    <row r="407" spans="7:7" x14ac:dyDescent="0.25">
      <c r="G407" s="21"/>
    </row>
    <row r="408" spans="7:7" x14ac:dyDescent="0.25">
      <c r="G408" s="21"/>
    </row>
    <row r="409" spans="7:7" x14ac:dyDescent="0.25">
      <c r="G409" s="21"/>
    </row>
    <row r="410" spans="7:7" x14ac:dyDescent="0.25">
      <c r="G410" s="21"/>
    </row>
    <row r="411" spans="7:7" x14ac:dyDescent="0.25">
      <c r="G411" s="21"/>
    </row>
    <row r="412" spans="7:7" x14ac:dyDescent="0.25">
      <c r="G412" s="21"/>
    </row>
    <row r="413" spans="7:7" x14ac:dyDescent="0.25">
      <c r="G413" s="21"/>
    </row>
    <row r="414" spans="7:7" x14ac:dyDescent="0.25">
      <c r="G414" s="21"/>
    </row>
    <row r="415" spans="7:7" x14ac:dyDescent="0.25">
      <c r="G415" s="21"/>
    </row>
    <row r="416" spans="7:7" x14ac:dyDescent="0.25">
      <c r="G416" s="21"/>
    </row>
    <row r="417" spans="7:7" x14ac:dyDescent="0.25">
      <c r="G417" s="21"/>
    </row>
    <row r="418" spans="7:7" x14ac:dyDescent="0.25">
      <c r="G418" s="21"/>
    </row>
    <row r="419" spans="7:7" x14ac:dyDescent="0.25">
      <c r="G419" s="21"/>
    </row>
    <row r="420" spans="7:7" x14ac:dyDescent="0.25">
      <c r="G420" s="21"/>
    </row>
    <row r="421" spans="7:7" x14ac:dyDescent="0.25">
      <c r="G421" s="21"/>
    </row>
    <row r="422" spans="7:7" x14ac:dyDescent="0.25">
      <c r="G422" s="21"/>
    </row>
    <row r="423" spans="7:7" x14ac:dyDescent="0.25">
      <c r="G423" s="21"/>
    </row>
    <row r="424" spans="7:7" x14ac:dyDescent="0.25">
      <c r="G424" s="21"/>
    </row>
    <row r="425" spans="7:7" x14ac:dyDescent="0.25">
      <c r="G425" s="21"/>
    </row>
    <row r="426" spans="7:7" x14ac:dyDescent="0.25">
      <c r="G426" s="21"/>
    </row>
    <row r="427" spans="7:7" x14ac:dyDescent="0.25">
      <c r="G427" s="21"/>
    </row>
    <row r="428" spans="7:7" x14ac:dyDescent="0.25">
      <c r="G428" s="21"/>
    </row>
    <row r="429" spans="7:7" x14ac:dyDescent="0.25">
      <c r="G429" s="21"/>
    </row>
    <row r="430" spans="7:7" x14ac:dyDescent="0.25">
      <c r="G430" s="21"/>
    </row>
    <row r="431" spans="7:7" x14ac:dyDescent="0.25">
      <c r="G431" s="21"/>
    </row>
    <row r="432" spans="7:7" x14ac:dyDescent="0.25">
      <c r="G432" s="21"/>
    </row>
    <row r="433" spans="7:7" x14ac:dyDescent="0.25">
      <c r="G433" s="21"/>
    </row>
    <row r="434" spans="7:7" x14ac:dyDescent="0.25">
      <c r="G434" s="21"/>
    </row>
    <row r="435" spans="7:7" x14ac:dyDescent="0.25">
      <c r="G435" s="21"/>
    </row>
    <row r="436" spans="7:7" x14ac:dyDescent="0.25">
      <c r="G436" s="21"/>
    </row>
    <row r="437" spans="7:7" x14ac:dyDescent="0.25">
      <c r="G437" s="21"/>
    </row>
    <row r="438" spans="7:7" x14ac:dyDescent="0.25">
      <c r="G438" s="21"/>
    </row>
    <row r="439" spans="7:7" x14ac:dyDescent="0.25">
      <c r="G439" s="21"/>
    </row>
    <row r="440" spans="7:7" x14ac:dyDescent="0.25">
      <c r="G440" s="21"/>
    </row>
    <row r="441" spans="7:7" x14ac:dyDescent="0.25">
      <c r="G441" s="21"/>
    </row>
    <row r="442" spans="7:7" x14ac:dyDescent="0.25">
      <c r="G442" s="21"/>
    </row>
    <row r="443" spans="7:7" x14ac:dyDescent="0.25">
      <c r="G443" s="21"/>
    </row>
    <row r="444" spans="7:7" x14ac:dyDescent="0.25">
      <c r="G444" s="21"/>
    </row>
    <row r="445" spans="7:7" x14ac:dyDescent="0.25">
      <c r="G445" s="21"/>
    </row>
    <row r="446" spans="7:7" x14ac:dyDescent="0.25">
      <c r="G446" s="21"/>
    </row>
    <row r="447" spans="7:7" x14ac:dyDescent="0.25">
      <c r="G447" s="21"/>
    </row>
    <row r="448" spans="7:7" x14ac:dyDescent="0.25">
      <c r="G448" s="21"/>
    </row>
    <row r="449" spans="7:7" x14ac:dyDescent="0.25">
      <c r="G449" s="21"/>
    </row>
    <row r="450" spans="7:7" x14ac:dyDescent="0.25">
      <c r="G450" s="21"/>
    </row>
    <row r="451" spans="7:7" x14ac:dyDescent="0.25">
      <c r="G451" s="21"/>
    </row>
    <row r="452" spans="7:7" x14ac:dyDescent="0.25">
      <c r="G452" s="21"/>
    </row>
    <row r="453" spans="7:7" x14ac:dyDescent="0.25">
      <c r="G453" s="21"/>
    </row>
    <row r="454" spans="7:7" x14ac:dyDescent="0.25">
      <c r="G454" s="21"/>
    </row>
    <row r="455" spans="7:7" x14ac:dyDescent="0.25">
      <c r="G455" s="21"/>
    </row>
    <row r="456" spans="7:7" x14ac:dyDescent="0.25">
      <c r="G456" s="21"/>
    </row>
    <row r="457" spans="7:7" x14ac:dyDescent="0.25">
      <c r="G457" s="21"/>
    </row>
    <row r="458" spans="7:7" x14ac:dyDescent="0.25">
      <c r="G458" s="21"/>
    </row>
    <row r="459" spans="7:7" x14ac:dyDescent="0.25">
      <c r="G459" s="21"/>
    </row>
    <row r="460" spans="7:7" x14ac:dyDescent="0.25">
      <c r="G460" s="21"/>
    </row>
    <row r="461" spans="7:7" x14ac:dyDescent="0.25">
      <c r="G461" s="21"/>
    </row>
    <row r="462" spans="7:7" x14ac:dyDescent="0.25">
      <c r="G462" s="21"/>
    </row>
    <row r="463" spans="7:7" x14ac:dyDescent="0.25">
      <c r="G463" s="21"/>
    </row>
    <row r="464" spans="7:7" x14ac:dyDescent="0.25">
      <c r="G464" s="21"/>
    </row>
    <row r="465" spans="7:7" x14ac:dyDescent="0.25">
      <c r="G465" s="21"/>
    </row>
    <row r="466" spans="7:7" x14ac:dyDescent="0.25">
      <c r="G466" s="21"/>
    </row>
    <row r="467" spans="7:7" x14ac:dyDescent="0.25">
      <c r="G467" s="21"/>
    </row>
    <row r="468" spans="7:7" x14ac:dyDescent="0.25">
      <c r="G468" s="21"/>
    </row>
    <row r="469" spans="7:7" x14ac:dyDescent="0.25">
      <c r="G469" s="21"/>
    </row>
    <row r="470" spans="7:7" x14ac:dyDescent="0.25">
      <c r="G470" s="21"/>
    </row>
    <row r="471" spans="7:7" x14ac:dyDescent="0.25">
      <c r="G471" s="21"/>
    </row>
    <row r="472" spans="7:7" x14ac:dyDescent="0.25">
      <c r="G472" s="21"/>
    </row>
    <row r="473" spans="7:7" x14ac:dyDescent="0.25">
      <c r="G473" s="21"/>
    </row>
    <row r="474" spans="7:7" x14ac:dyDescent="0.25">
      <c r="G474" s="21"/>
    </row>
    <row r="475" spans="7:7" x14ac:dyDescent="0.25">
      <c r="G475" s="21"/>
    </row>
    <row r="476" spans="7:7" x14ac:dyDescent="0.25">
      <c r="G476" s="21"/>
    </row>
    <row r="477" spans="7:7" x14ac:dyDescent="0.25">
      <c r="G477" s="21"/>
    </row>
    <row r="478" spans="7:7" x14ac:dyDescent="0.25">
      <c r="G478" s="21"/>
    </row>
    <row r="479" spans="7:7" x14ac:dyDescent="0.25">
      <c r="G479" s="21"/>
    </row>
    <row r="480" spans="7:7" x14ac:dyDescent="0.25">
      <c r="G480" s="21"/>
    </row>
    <row r="481" spans="7:7" x14ac:dyDescent="0.25">
      <c r="G481" s="21"/>
    </row>
    <row r="482" spans="7:7" x14ac:dyDescent="0.25">
      <c r="G482" s="21"/>
    </row>
    <row r="483" spans="7:7" x14ac:dyDescent="0.25">
      <c r="G483" s="21"/>
    </row>
    <row r="484" spans="7:7" x14ac:dyDescent="0.25">
      <c r="G484" s="21"/>
    </row>
    <row r="485" spans="7:7" x14ac:dyDescent="0.25">
      <c r="G485" s="21"/>
    </row>
    <row r="486" spans="7:7" x14ac:dyDescent="0.25">
      <c r="G486" s="21"/>
    </row>
    <row r="487" spans="7:7" x14ac:dyDescent="0.25">
      <c r="G487" s="21"/>
    </row>
    <row r="488" spans="7:7" x14ac:dyDescent="0.25">
      <c r="G488" s="21"/>
    </row>
    <row r="489" spans="7:7" x14ac:dyDescent="0.25">
      <c r="G489" s="21"/>
    </row>
    <row r="490" spans="7:7" x14ac:dyDescent="0.25">
      <c r="G490" s="21"/>
    </row>
    <row r="491" spans="7:7" x14ac:dyDescent="0.25">
      <c r="G491" s="21"/>
    </row>
    <row r="492" spans="7:7" x14ac:dyDescent="0.25">
      <c r="G492" s="21"/>
    </row>
    <row r="493" spans="7:7" x14ac:dyDescent="0.25">
      <c r="G493" s="21"/>
    </row>
    <row r="494" spans="7:7" x14ac:dyDescent="0.25">
      <c r="G494" s="21"/>
    </row>
    <row r="495" spans="7:7" x14ac:dyDescent="0.25">
      <c r="G495" s="21"/>
    </row>
    <row r="496" spans="7:7" x14ac:dyDescent="0.25">
      <c r="G496" s="21"/>
    </row>
    <row r="497" spans="7:7" x14ac:dyDescent="0.25">
      <c r="G497" s="21"/>
    </row>
    <row r="498" spans="7:7" x14ac:dyDescent="0.25">
      <c r="G498" s="21"/>
    </row>
    <row r="499" spans="7:7" x14ac:dyDescent="0.25">
      <c r="G499" s="21"/>
    </row>
    <row r="500" spans="7:7" x14ac:dyDescent="0.25">
      <c r="G500" s="21"/>
    </row>
    <row r="501" spans="7:7" x14ac:dyDescent="0.25">
      <c r="G501" s="21"/>
    </row>
    <row r="502" spans="7:7" x14ac:dyDescent="0.25">
      <c r="G502" s="21"/>
    </row>
    <row r="503" spans="7:7" x14ac:dyDescent="0.25">
      <c r="G503" s="21"/>
    </row>
    <row r="504" spans="7:7" x14ac:dyDescent="0.25">
      <c r="G504" s="21"/>
    </row>
    <row r="505" spans="7:7" x14ac:dyDescent="0.25">
      <c r="G505" s="21"/>
    </row>
    <row r="506" spans="7:7" x14ac:dyDescent="0.25">
      <c r="G506" s="21"/>
    </row>
    <row r="507" spans="7:7" x14ac:dyDescent="0.25">
      <c r="G507" s="21"/>
    </row>
    <row r="508" spans="7:7" x14ac:dyDescent="0.25">
      <c r="G508" s="21"/>
    </row>
    <row r="509" spans="7:7" x14ac:dyDescent="0.25">
      <c r="G509" s="21"/>
    </row>
    <row r="510" spans="7:7" x14ac:dyDescent="0.25">
      <c r="G510" s="21"/>
    </row>
    <row r="511" spans="7:7" x14ac:dyDescent="0.25">
      <c r="G511" s="21"/>
    </row>
    <row r="512" spans="7:7" x14ac:dyDescent="0.25">
      <c r="G512" s="21"/>
    </row>
    <row r="513" spans="7:7" x14ac:dyDescent="0.25">
      <c r="G513" s="21"/>
    </row>
    <row r="514" spans="7:7" x14ac:dyDescent="0.25">
      <c r="G514" s="21"/>
    </row>
    <row r="515" spans="7:7" x14ac:dyDescent="0.25">
      <c r="G515" s="21"/>
    </row>
    <row r="516" spans="7:7" x14ac:dyDescent="0.25">
      <c r="G516" s="21"/>
    </row>
    <row r="517" spans="7:7" x14ac:dyDescent="0.25">
      <c r="G517" s="21"/>
    </row>
    <row r="518" spans="7:7" x14ac:dyDescent="0.25">
      <c r="G518" s="21"/>
    </row>
    <row r="519" spans="7:7" x14ac:dyDescent="0.25">
      <c r="G519" s="21"/>
    </row>
    <row r="520" spans="7:7" x14ac:dyDescent="0.25">
      <c r="G520" s="21"/>
    </row>
    <row r="521" spans="7:7" x14ac:dyDescent="0.25">
      <c r="G521" s="21"/>
    </row>
    <row r="522" spans="7:7" x14ac:dyDescent="0.25">
      <c r="G522" s="21"/>
    </row>
    <row r="523" spans="7:7" x14ac:dyDescent="0.25">
      <c r="G523" s="21"/>
    </row>
    <row r="524" spans="7:7" x14ac:dyDescent="0.25">
      <c r="G524" s="21"/>
    </row>
    <row r="525" spans="7:7" x14ac:dyDescent="0.25">
      <c r="G525" s="21"/>
    </row>
    <row r="526" spans="7:7" x14ac:dyDescent="0.25">
      <c r="G526" s="21"/>
    </row>
    <row r="527" spans="7:7" x14ac:dyDescent="0.25">
      <c r="G527" s="21"/>
    </row>
    <row r="528" spans="7:7" x14ac:dyDescent="0.25">
      <c r="G528" s="21"/>
    </row>
    <row r="529" spans="7:7" x14ac:dyDescent="0.25">
      <c r="G529" s="21"/>
    </row>
    <row r="530" spans="7:7" x14ac:dyDescent="0.25">
      <c r="G530" s="21"/>
    </row>
    <row r="531" spans="7:7" x14ac:dyDescent="0.25">
      <c r="G531" s="21"/>
    </row>
    <row r="532" spans="7:7" x14ac:dyDescent="0.25">
      <c r="G532" s="21"/>
    </row>
    <row r="533" spans="7:7" x14ac:dyDescent="0.25">
      <c r="G533" s="21"/>
    </row>
    <row r="534" spans="7:7" x14ac:dyDescent="0.25">
      <c r="G534" s="21"/>
    </row>
    <row r="535" spans="7:7" x14ac:dyDescent="0.25">
      <c r="G535" s="21"/>
    </row>
    <row r="536" spans="7:7" x14ac:dyDescent="0.25">
      <c r="G536" s="21"/>
    </row>
    <row r="537" spans="7:7" x14ac:dyDescent="0.25">
      <c r="G537" s="21"/>
    </row>
    <row r="538" spans="7:7" x14ac:dyDescent="0.25">
      <c r="G538" s="21"/>
    </row>
    <row r="539" spans="7:7" x14ac:dyDescent="0.25">
      <c r="G539" s="21"/>
    </row>
    <row r="540" spans="7:7" x14ac:dyDescent="0.25">
      <c r="G540" s="21"/>
    </row>
    <row r="541" spans="7:7" x14ac:dyDescent="0.25">
      <c r="G541" s="21"/>
    </row>
    <row r="542" spans="7:7" x14ac:dyDescent="0.25">
      <c r="G542" s="21"/>
    </row>
    <row r="543" spans="7:7" x14ac:dyDescent="0.25">
      <c r="G543" s="21"/>
    </row>
    <row r="544" spans="7:7" x14ac:dyDescent="0.25">
      <c r="G544" s="21"/>
    </row>
    <row r="545" spans="7:7" x14ac:dyDescent="0.25">
      <c r="G545" s="21"/>
    </row>
    <row r="546" spans="7:7" x14ac:dyDescent="0.25">
      <c r="G546" s="21"/>
    </row>
    <row r="547" spans="7:7" x14ac:dyDescent="0.25">
      <c r="G547" s="21"/>
    </row>
    <row r="548" spans="7:7" x14ac:dyDescent="0.25">
      <c r="G548" s="21"/>
    </row>
    <row r="549" spans="7:7" x14ac:dyDescent="0.25">
      <c r="G549" s="21"/>
    </row>
    <row r="550" spans="7:7" x14ac:dyDescent="0.25">
      <c r="G550" s="21"/>
    </row>
    <row r="551" spans="7:7" x14ac:dyDescent="0.25">
      <c r="G551" s="21"/>
    </row>
    <row r="552" spans="7:7" x14ac:dyDescent="0.25">
      <c r="G552" s="21"/>
    </row>
    <row r="553" spans="7:7" x14ac:dyDescent="0.25">
      <c r="G553" s="21"/>
    </row>
    <row r="554" spans="7:7" x14ac:dyDescent="0.25">
      <c r="G554" s="21"/>
    </row>
    <row r="555" spans="7:7" x14ac:dyDescent="0.25">
      <c r="G555" s="21"/>
    </row>
    <row r="556" spans="7:7" x14ac:dyDescent="0.25">
      <c r="G556" s="21"/>
    </row>
    <row r="557" spans="7:7" x14ac:dyDescent="0.25">
      <c r="G557" s="21"/>
    </row>
    <row r="558" spans="7:7" x14ac:dyDescent="0.25">
      <c r="G558" s="21"/>
    </row>
    <row r="559" spans="7:7" x14ac:dyDescent="0.25">
      <c r="G559" s="21"/>
    </row>
    <row r="560" spans="7:7" x14ac:dyDescent="0.25">
      <c r="G560" s="21"/>
    </row>
    <row r="561" spans="7:7" x14ac:dyDescent="0.25">
      <c r="G561" s="21"/>
    </row>
    <row r="562" spans="7:7" x14ac:dyDescent="0.25">
      <c r="G562" s="21"/>
    </row>
    <row r="563" spans="7:7" x14ac:dyDescent="0.25">
      <c r="G563" s="21"/>
    </row>
    <row r="564" spans="7:7" x14ac:dyDescent="0.25">
      <c r="G564" s="21"/>
    </row>
    <row r="565" spans="7:7" x14ac:dyDescent="0.25">
      <c r="G565" s="21"/>
    </row>
    <row r="566" spans="7:7" x14ac:dyDescent="0.25">
      <c r="G566" s="21"/>
    </row>
    <row r="567" spans="7:7" x14ac:dyDescent="0.25">
      <c r="G567" s="21"/>
    </row>
    <row r="568" spans="7:7" x14ac:dyDescent="0.25">
      <c r="G568" s="21"/>
    </row>
    <row r="569" spans="7:7" x14ac:dyDescent="0.25">
      <c r="G569" s="21"/>
    </row>
    <row r="570" spans="7:7" x14ac:dyDescent="0.25">
      <c r="G570" s="21"/>
    </row>
    <row r="571" spans="7:7" x14ac:dyDescent="0.25">
      <c r="G571" s="21"/>
    </row>
    <row r="572" spans="7:7" x14ac:dyDescent="0.25">
      <c r="G572" s="21"/>
    </row>
    <row r="573" spans="7:7" x14ac:dyDescent="0.25">
      <c r="G573" s="21"/>
    </row>
    <row r="574" spans="7:7" x14ac:dyDescent="0.25">
      <c r="G574" s="21"/>
    </row>
    <row r="575" spans="7:7" x14ac:dyDescent="0.25">
      <c r="G575" s="21"/>
    </row>
    <row r="576" spans="7:7" x14ac:dyDescent="0.25">
      <c r="G576" s="21"/>
    </row>
    <row r="577" spans="7:7" x14ac:dyDescent="0.25">
      <c r="G577" s="21"/>
    </row>
    <row r="578" spans="7:7" x14ac:dyDescent="0.25">
      <c r="G578" s="21"/>
    </row>
    <row r="579" spans="7:7" x14ac:dyDescent="0.25">
      <c r="G579" s="21"/>
    </row>
    <row r="580" spans="7:7" x14ac:dyDescent="0.25">
      <c r="G580" s="21"/>
    </row>
    <row r="581" spans="7:7" x14ac:dyDescent="0.25">
      <c r="G581" s="21"/>
    </row>
    <row r="582" spans="7:7" x14ac:dyDescent="0.25">
      <c r="G582" s="21"/>
    </row>
    <row r="583" spans="7:7" x14ac:dyDescent="0.25">
      <c r="G583" s="21"/>
    </row>
    <row r="584" spans="7:7" x14ac:dyDescent="0.25">
      <c r="G584" s="21"/>
    </row>
    <row r="585" spans="7:7" x14ac:dyDescent="0.25">
      <c r="G585" s="21"/>
    </row>
    <row r="586" spans="7:7" x14ac:dyDescent="0.25">
      <c r="G586" s="21"/>
    </row>
    <row r="587" spans="7:7" x14ac:dyDescent="0.25">
      <c r="G587" s="21"/>
    </row>
    <row r="588" spans="7:7" x14ac:dyDescent="0.25">
      <c r="G588" s="21"/>
    </row>
    <row r="589" spans="7:7" x14ac:dyDescent="0.25">
      <c r="G589" s="21"/>
    </row>
    <row r="590" spans="7:7" x14ac:dyDescent="0.25">
      <c r="G590" s="21"/>
    </row>
    <row r="591" spans="7:7" x14ac:dyDescent="0.25">
      <c r="G591" s="21"/>
    </row>
    <row r="592" spans="7:7" x14ac:dyDescent="0.25">
      <c r="G592" s="21"/>
    </row>
    <row r="593" spans="7:7" x14ac:dyDescent="0.25">
      <c r="G593" s="21"/>
    </row>
    <row r="594" spans="7:7" x14ac:dyDescent="0.25">
      <c r="G594" s="21"/>
    </row>
    <row r="595" spans="7:7" x14ac:dyDescent="0.25">
      <c r="G595" s="21"/>
    </row>
    <row r="596" spans="7:7" x14ac:dyDescent="0.25">
      <c r="G596" s="21"/>
    </row>
    <row r="597" spans="7:7" x14ac:dyDescent="0.25">
      <c r="G597" s="21"/>
    </row>
    <row r="598" spans="7:7" x14ac:dyDescent="0.25">
      <c r="G598" s="21"/>
    </row>
    <row r="599" spans="7:7" x14ac:dyDescent="0.25">
      <c r="G599" s="21"/>
    </row>
    <row r="600" spans="7:7" x14ac:dyDescent="0.25">
      <c r="G600" s="21"/>
    </row>
    <row r="601" spans="7:7" x14ac:dyDescent="0.25">
      <c r="G601" s="21"/>
    </row>
    <row r="602" spans="7:7" x14ac:dyDescent="0.25">
      <c r="G602" s="21"/>
    </row>
    <row r="603" spans="7:7" x14ac:dyDescent="0.25">
      <c r="G603" s="21"/>
    </row>
    <row r="604" spans="7:7" x14ac:dyDescent="0.25">
      <c r="G604" s="21"/>
    </row>
    <row r="605" spans="7:7" x14ac:dyDescent="0.25">
      <c r="G605" s="21"/>
    </row>
    <row r="606" spans="7:7" x14ac:dyDescent="0.25">
      <c r="G606" s="21"/>
    </row>
    <row r="607" spans="7:7" x14ac:dyDescent="0.25">
      <c r="G607" s="21"/>
    </row>
    <row r="608" spans="7:7" x14ac:dyDescent="0.25">
      <c r="G608" s="21"/>
    </row>
    <row r="609" spans="7:7" x14ac:dyDescent="0.25">
      <c r="G609" s="21"/>
    </row>
    <row r="610" spans="7:7" x14ac:dyDescent="0.25">
      <c r="G610" s="21"/>
    </row>
    <row r="611" spans="7:7" x14ac:dyDescent="0.25">
      <c r="G611" s="21"/>
    </row>
    <row r="612" spans="7:7" x14ac:dyDescent="0.25">
      <c r="G612" s="21"/>
    </row>
    <row r="613" spans="7:7" x14ac:dyDescent="0.25">
      <c r="G613" s="21"/>
    </row>
    <row r="614" spans="7:7" x14ac:dyDescent="0.25">
      <c r="G614" s="21"/>
    </row>
    <row r="615" spans="7:7" x14ac:dyDescent="0.25">
      <c r="G615" s="21"/>
    </row>
    <row r="616" spans="7:7" x14ac:dyDescent="0.25">
      <c r="G616" s="21"/>
    </row>
    <row r="617" spans="7:7" x14ac:dyDescent="0.25">
      <c r="G617" s="21"/>
    </row>
    <row r="618" spans="7:7" x14ac:dyDescent="0.25">
      <c r="G618" s="21"/>
    </row>
    <row r="619" spans="7:7" x14ac:dyDescent="0.25">
      <c r="G619" s="21"/>
    </row>
    <row r="620" spans="7:7" x14ac:dyDescent="0.25">
      <c r="G620" s="21"/>
    </row>
    <row r="621" spans="7:7" x14ac:dyDescent="0.25">
      <c r="G621" s="21"/>
    </row>
    <row r="622" spans="7:7" x14ac:dyDescent="0.25">
      <c r="G622" s="21"/>
    </row>
    <row r="623" spans="7:7" x14ac:dyDescent="0.25">
      <c r="G623" s="21"/>
    </row>
    <row r="624" spans="7:7" x14ac:dyDescent="0.25">
      <c r="G624" s="21"/>
    </row>
    <row r="625" spans="7:7" x14ac:dyDescent="0.25">
      <c r="G625" s="21"/>
    </row>
    <row r="626" spans="7:7" x14ac:dyDescent="0.25">
      <c r="G626" s="21"/>
    </row>
    <row r="627" spans="7:7" x14ac:dyDescent="0.25">
      <c r="G627" s="21"/>
    </row>
    <row r="628" spans="7:7" x14ac:dyDescent="0.25">
      <c r="G628" s="21"/>
    </row>
    <row r="629" spans="7:7" x14ac:dyDescent="0.25">
      <c r="G629" s="21"/>
    </row>
    <row r="630" spans="7:7" x14ac:dyDescent="0.25">
      <c r="G630" s="21"/>
    </row>
    <row r="631" spans="7:7" x14ac:dyDescent="0.25">
      <c r="G631" s="21"/>
    </row>
    <row r="632" spans="7:7" x14ac:dyDescent="0.25">
      <c r="G632" s="21"/>
    </row>
    <row r="633" spans="7:7" x14ac:dyDescent="0.25">
      <c r="G633" s="21"/>
    </row>
    <row r="634" spans="7:7" x14ac:dyDescent="0.25">
      <c r="G634" s="21"/>
    </row>
    <row r="635" spans="7:7" x14ac:dyDescent="0.25">
      <c r="G635" s="21"/>
    </row>
    <row r="636" spans="7:7" x14ac:dyDescent="0.25">
      <c r="G636" s="21"/>
    </row>
    <row r="637" spans="7:7" x14ac:dyDescent="0.25">
      <c r="G637" s="21"/>
    </row>
    <row r="638" spans="7:7" x14ac:dyDescent="0.25">
      <c r="G638" s="21"/>
    </row>
    <row r="639" spans="7:7" x14ac:dyDescent="0.25">
      <c r="G639" s="21"/>
    </row>
    <row r="640" spans="7:7" x14ac:dyDescent="0.25">
      <c r="G640" s="21"/>
    </row>
    <row r="641" spans="7:7" x14ac:dyDescent="0.25">
      <c r="G641" s="21"/>
    </row>
    <row r="642" spans="7:7" x14ac:dyDescent="0.25">
      <c r="G642" s="21"/>
    </row>
    <row r="643" spans="7:7" x14ac:dyDescent="0.25">
      <c r="G643" s="21"/>
    </row>
    <row r="644" spans="7:7" x14ac:dyDescent="0.25">
      <c r="G644" s="21"/>
    </row>
    <row r="645" spans="7:7" x14ac:dyDescent="0.25">
      <c r="G645" s="21"/>
    </row>
    <row r="646" spans="7:7" x14ac:dyDescent="0.25">
      <c r="G646" s="21"/>
    </row>
    <row r="647" spans="7:7" x14ac:dyDescent="0.25">
      <c r="G647" s="21"/>
    </row>
    <row r="648" spans="7:7" x14ac:dyDescent="0.25">
      <c r="G648" s="21"/>
    </row>
    <row r="649" spans="7:7" x14ac:dyDescent="0.25">
      <c r="G649" s="21"/>
    </row>
    <row r="650" spans="7:7" x14ac:dyDescent="0.25">
      <c r="G650" s="21"/>
    </row>
    <row r="651" spans="7:7" x14ac:dyDescent="0.25">
      <c r="G651" s="21"/>
    </row>
    <row r="652" spans="7:7" x14ac:dyDescent="0.25">
      <c r="G652" s="21"/>
    </row>
    <row r="653" spans="7:7" x14ac:dyDescent="0.25">
      <c r="G653" s="21"/>
    </row>
    <row r="654" spans="7:7" x14ac:dyDescent="0.25">
      <c r="G654" s="21"/>
    </row>
    <row r="655" spans="7:7" x14ac:dyDescent="0.25">
      <c r="G655" s="21"/>
    </row>
    <row r="656" spans="7:7" x14ac:dyDescent="0.25">
      <c r="G656" s="21"/>
    </row>
    <row r="657" spans="7:7" x14ac:dyDescent="0.25">
      <c r="G657" s="21"/>
    </row>
    <row r="658" spans="7:7" x14ac:dyDescent="0.25">
      <c r="G658" s="21"/>
    </row>
    <row r="659" spans="7:7" x14ac:dyDescent="0.25">
      <c r="G659" s="21"/>
    </row>
    <row r="660" spans="7:7" x14ac:dyDescent="0.25">
      <c r="G660" s="21"/>
    </row>
    <row r="661" spans="7:7" x14ac:dyDescent="0.25">
      <c r="G661" s="21"/>
    </row>
    <row r="662" spans="7:7" x14ac:dyDescent="0.25">
      <c r="G662" s="21"/>
    </row>
    <row r="663" spans="7:7" x14ac:dyDescent="0.25">
      <c r="G663" s="21"/>
    </row>
    <row r="664" spans="7:7" x14ac:dyDescent="0.25">
      <c r="G664" s="21"/>
    </row>
    <row r="665" spans="7:7" x14ac:dyDescent="0.25">
      <c r="G665" s="21"/>
    </row>
    <row r="666" spans="7:7" x14ac:dyDescent="0.25">
      <c r="G666" s="21"/>
    </row>
    <row r="667" spans="7:7" x14ac:dyDescent="0.25">
      <c r="G667" s="21"/>
    </row>
    <row r="668" spans="7:7" x14ac:dyDescent="0.25">
      <c r="G668" s="21"/>
    </row>
    <row r="669" spans="7:7" x14ac:dyDescent="0.25">
      <c r="G669" s="21"/>
    </row>
    <row r="670" spans="7:7" x14ac:dyDescent="0.25">
      <c r="G670" s="21"/>
    </row>
    <row r="671" spans="7:7" x14ac:dyDescent="0.25">
      <c r="G671" s="21"/>
    </row>
    <row r="672" spans="7:7" x14ac:dyDescent="0.25">
      <c r="G672" s="21"/>
    </row>
    <row r="673" spans="7:7" x14ac:dyDescent="0.25">
      <c r="G673" s="21"/>
    </row>
    <row r="674" spans="7:7" x14ac:dyDescent="0.25">
      <c r="G674" s="21"/>
    </row>
    <row r="675" spans="7:7" x14ac:dyDescent="0.25">
      <c r="G675" s="21"/>
    </row>
    <row r="676" spans="7:7" x14ac:dyDescent="0.25">
      <c r="G676" s="21"/>
    </row>
    <row r="677" spans="7:7" x14ac:dyDescent="0.25">
      <c r="G677" s="21"/>
    </row>
    <row r="678" spans="7:7" x14ac:dyDescent="0.25">
      <c r="G678" s="21"/>
    </row>
    <row r="679" spans="7:7" x14ac:dyDescent="0.25">
      <c r="G679" s="21"/>
    </row>
    <row r="680" spans="7:7" x14ac:dyDescent="0.25">
      <c r="G680" s="21"/>
    </row>
    <row r="681" spans="7:7" x14ac:dyDescent="0.25">
      <c r="G681" s="21"/>
    </row>
    <row r="682" spans="7:7" x14ac:dyDescent="0.25">
      <c r="G682" s="21"/>
    </row>
  </sheetData>
  <pageMargins left="0.7" right="0.7" top="0.75" bottom="0.75" header="0.3" footer="0.3"/>
  <pageSetup paperSize="5" scale="9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67B6-30A7-4095-94C5-ECD8C69CBBA5}">
  <dimension ref="A1:E45"/>
  <sheetViews>
    <sheetView zoomScale="70" zoomScaleNormal="70" workbookViewId="0">
      <selection activeCell="G41" sqref="G41"/>
    </sheetView>
  </sheetViews>
  <sheetFormatPr defaultRowHeight="15" x14ac:dyDescent="0.25"/>
  <cols>
    <col min="2" max="2" width="17.7109375" customWidth="1"/>
    <col min="3" max="3" width="57.5703125" customWidth="1"/>
    <col min="4" max="4" width="17" hidden="1" customWidth="1"/>
    <col min="5" max="5" width="18.7109375" customWidth="1"/>
  </cols>
  <sheetData>
    <row r="1" spans="1:5" x14ac:dyDescent="0.25">
      <c r="A1" s="26" t="s">
        <v>784</v>
      </c>
      <c r="B1" s="26" t="s">
        <v>785</v>
      </c>
      <c r="C1" s="26" t="s">
        <v>0</v>
      </c>
      <c r="D1" s="26" t="s">
        <v>892</v>
      </c>
      <c r="E1" s="30" t="s">
        <v>983</v>
      </c>
    </row>
    <row r="2" spans="1:5" x14ac:dyDescent="0.25">
      <c r="A2" s="26">
        <v>1</v>
      </c>
      <c r="B2" s="26" t="s">
        <v>350</v>
      </c>
      <c r="C2" s="26" t="str">
        <f>INDEX(Company_Master!D:D,MATCH(B2,Company_Master!C:C,0))</f>
        <v>DESERT WAVES CLEANING SERVICES - L.L.C - S.P.C</v>
      </c>
      <c r="D2" s="26" t="s">
        <v>894</v>
      </c>
      <c r="E2" s="26">
        <f>COUNTIF(Employee_Master!B:B,Com_Scr!B2)</f>
        <v>19</v>
      </c>
    </row>
    <row r="3" spans="1:5" x14ac:dyDescent="0.25">
      <c r="A3" s="26">
        <v>2</v>
      </c>
      <c r="B3" s="26" t="s">
        <v>351</v>
      </c>
      <c r="C3" s="26" t="str">
        <f>INDEX(Company_Master!D:D,MATCH(B3,Company_Master!C:C,0))</f>
        <v>DESERT WAVES COMMERCIAL BROKERS - L.L.C - S.P.C</v>
      </c>
      <c r="D3" s="26" t="s">
        <v>895</v>
      </c>
      <c r="E3" s="26">
        <f>COUNTIF(Employee_Master!B:B,Com_Scr!B3)</f>
        <v>23</v>
      </c>
    </row>
    <row r="4" spans="1:5" x14ac:dyDescent="0.25">
      <c r="A4" s="26">
        <v>3</v>
      </c>
      <c r="B4" s="26" t="s">
        <v>357</v>
      </c>
      <c r="C4" s="26" t="str">
        <f>INDEX(Company_Master!D:D,MATCH(B4,Company_Master!C:C,0))</f>
        <v>DATTA GENERAL TRADING AND LABORATORY SUPPLIES - L.L.C - S.P.C</v>
      </c>
      <c r="D4" s="26" t="s">
        <v>896</v>
      </c>
      <c r="E4" s="26">
        <f>COUNTIF(Employee_Master!B:B,Com_Scr!B4)</f>
        <v>4</v>
      </c>
    </row>
    <row r="5" spans="1:5" x14ac:dyDescent="0.25">
      <c r="A5" s="26">
        <v>4</v>
      </c>
      <c r="B5" s="26" t="s">
        <v>358</v>
      </c>
      <c r="C5" s="26" t="str">
        <f>INDEX(Company_Master!D:D,MATCH(B5,Company_Master!C:C,0))</f>
        <v>DATTA BUKHARI RESTAURANT - L.L.C - O.P.C</v>
      </c>
      <c r="D5" s="26" t="s">
        <v>893</v>
      </c>
      <c r="E5" s="26">
        <f>COUNTIF(Employee_Master!B:B,Com_Scr!B5)</f>
        <v>7</v>
      </c>
    </row>
    <row r="6" spans="1:5" x14ac:dyDescent="0.25">
      <c r="A6" s="26">
        <v>39</v>
      </c>
      <c r="B6" s="26" t="s">
        <v>359</v>
      </c>
      <c r="C6" s="26" t="str">
        <f>INDEX(Company_Master!D:D,MATCH(B6,Company_Master!C:C,0))</f>
        <v>DATTA HUJWIRI RESTAURANT - L.L.C - S.P.C</v>
      </c>
      <c r="D6" s="26"/>
      <c r="E6" s="26">
        <f>COUNTIF(Employee_Master!B:B,Com_Scr!B6)</f>
        <v>5</v>
      </c>
    </row>
    <row r="7" spans="1:5" x14ac:dyDescent="0.25">
      <c r="A7" s="26">
        <v>5</v>
      </c>
      <c r="B7" s="26" t="s">
        <v>360</v>
      </c>
      <c r="C7" s="26" t="str">
        <f>INDEX(Company_Master!D:D,MATCH(B7,Company_Master!C:C,0))</f>
        <v>ROYAL KATTANS KITCHEN - L.L.C</v>
      </c>
      <c r="D7" s="26" t="s">
        <v>897</v>
      </c>
      <c r="E7" s="26">
        <f>COUNTIF(Employee_Master!B:B,Com_Scr!B7)</f>
        <v>13</v>
      </c>
    </row>
    <row r="8" spans="1:5" x14ac:dyDescent="0.25">
      <c r="A8" s="26">
        <v>6</v>
      </c>
      <c r="B8" s="26" t="s">
        <v>361</v>
      </c>
      <c r="C8" s="26" t="str">
        <f>INDEX(Company_Master!D:D,MATCH(B8,Company_Master!C:C,0))</f>
        <v>ROYAL KATTAN KITCHEN -L.L.C BRANCH</v>
      </c>
      <c r="D8" s="26"/>
      <c r="E8" s="26">
        <f>COUNTIF(Employee_Master!B:B,Com_Scr!B8)</f>
        <v>7</v>
      </c>
    </row>
    <row r="9" spans="1:5" x14ac:dyDescent="0.25">
      <c r="A9" s="26">
        <v>7</v>
      </c>
      <c r="B9" s="26" t="s">
        <v>362</v>
      </c>
      <c r="C9" s="26" t="str">
        <f>INDEX(Company_Master!D:D,MATCH(B9,Company_Master!C:C,0))</f>
        <v>KATTANS CAFÉ L.L.C</v>
      </c>
      <c r="D9" s="26"/>
      <c r="E9" s="26">
        <f>COUNTIF(Employee_Master!B:B,Com_Scr!B9)</f>
        <v>23</v>
      </c>
    </row>
    <row r="10" spans="1:5" x14ac:dyDescent="0.25">
      <c r="A10" s="26">
        <v>8</v>
      </c>
      <c r="B10" s="26" t="s">
        <v>363</v>
      </c>
      <c r="C10" s="26" t="str">
        <f>INDEX(Company_Master!D:D,MATCH(B10,Company_Master!C:C,0))</f>
        <v>KATTANS CAFE L.L.C. - BRANCH</v>
      </c>
      <c r="D10" s="26"/>
      <c r="E10" s="26">
        <f>COUNTIF(Employee_Master!B:B,Com_Scr!B10)</f>
        <v>17</v>
      </c>
    </row>
    <row r="11" spans="1:5" x14ac:dyDescent="0.25">
      <c r="A11" s="26">
        <v>9</v>
      </c>
      <c r="B11" s="26" t="s">
        <v>366</v>
      </c>
      <c r="C11" s="26" t="str">
        <f>INDEX(Company_Master!D:D,MATCH(B11,Company_Master!C:C,0))</f>
        <v>WAY 2 WAY PASSENGER TRANSPORT BY RENTED BUSES - L.L.C - S.P.C</v>
      </c>
      <c r="D11" s="26"/>
      <c r="E11" s="26">
        <f>COUNTIF(Employee_Master!B:B,Com_Scr!B11)</f>
        <v>18</v>
      </c>
    </row>
    <row r="12" spans="1:5" x14ac:dyDescent="0.25">
      <c r="A12" s="26">
        <v>10</v>
      </c>
      <c r="B12" s="26" t="s">
        <v>367</v>
      </c>
      <c r="C12" s="26" t="str">
        <f>INDEX(Company_Master!D:D,MATCH(B12,Company_Master!C:C,0))</f>
        <v>WAY 2 WAY TOURS AND SAFARI - L.L.C - S.P.C</v>
      </c>
      <c r="D12" s="26"/>
      <c r="E12" s="26">
        <f>COUNTIF(Employee_Master!B:B,Com_Scr!B12)</f>
        <v>8</v>
      </c>
    </row>
    <row r="13" spans="1:5" x14ac:dyDescent="0.25">
      <c r="A13" s="26">
        <v>11</v>
      </c>
      <c r="B13" s="26" t="s">
        <v>368</v>
      </c>
      <c r="C13" s="26" t="str">
        <f>INDEX(Company_Master!D:D,MATCH(B13,Company_Master!C:C,0))</f>
        <v>EURO ARAB TOURISM - L.L.C - O.P.C</v>
      </c>
      <c r="D13" s="26"/>
      <c r="E13" s="26">
        <f>COUNTIF(Employee_Master!B:B,Com_Scr!B13)</f>
        <v>15</v>
      </c>
    </row>
    <row r="14" spans="1:5" x14ac:dyDescent="0.25">
      <c r="A14" s="26">
        <v>12</v>
      </c>
      <c r="B14" s="64" t="s">
        <v>369</v>
      </c>
      <c r="C14" s="26" t="str">
        <f>INDEX(Company_Master!D:D,MATCH(B14,Company_Master!C:C,0))</f>
        <v>WADI RENTAL EQUIPMENT CONSTRUCTION - L.L.C - S.P.C</v>
      </c>
      <c r="D14" s="26"/>
      <c r="E14" s="26">
        <f>COUNTIF(Employee_Master!B:B,Com_Scr!B14)</f>
        <v>7</v>
      </c>
    </row>
    <row r="15" spans="1:5" x14ac:dyDescent="0.25">
      <c r="A15" s="26">
        <v>13</v>
      </c>
      <c r="B15" s="26" t="s">
        <v>370</v>
      </c>
      <c r="C15" s="26" t="str">
        <f>INDEX(Company_Master!D:D,MATCH(B15,Company_Master!C:C,0))</f>
        <v>NEELAS LADIES BEAUTY SALOON - L.L.C - O.P.C</v>
      </c>
      <c r="D15" s="26"/>
      <c r="E15" s="26">
        <f>COUNTIF(Employee_Master!B:B,Com_Scr!B15)</f>
        <v>4</v>
      </c>
    </row>
    <row r="16" spans="1:5" x14ac:dyDescent="0.25">
      <c r="A16" s="26">
        <v>14</v>
      </c>
      <c r="B16" s="26" t="s">
        <v>371</v>
      </c>
      <c r="C16" s="26" t="str">
        <f>INDEX(Company_Master!D:D,MATCH(B16,Company_Master!C:C,0))</f>
        <v>LE SIGNATURE MEATS - SOLE PROPRIETORSHIP L.L.C.</v>
      </c>
      <c r="D16" s="26"/>
      <c r="E16" s="26">
        <f>COUNTIF(Employee_Master!B:B,Com_Scr!B16)</f>
        <v>2</v>
      </c>
    </row>
    <row r="17" spans="1:5" x14ac:dyDescent="0.25">
      <c r="A17" s="26">
        <v>15</v>
      </c>
      <c r="B17" s="26" t="s">
        <v>372</v>
      </c>
      <c r="C17" s="26" t="str">
        <f>INDEX(Company_Master!D:D,MATCH(B17,Company_Master!C:C,0))</f>
        <v>AKCELLENCE TRANSPORT PASSENGER BY BUS - L.L.C</v>
      </c>
      <c r="D17" s="26"/>
      <c r="E17" s="26">
        <f>COUNTIF(Employee_Master!B:B,Com_Scr!B17)</f>
        <v>6</v>
      </c>
    </row>
    <row r="18" spans="1:5" x14ac:dyDescent="0.25">
      <c r="A18" s="26">
        <v>16</v>
      </c>
      <c r="B18" s="26" t="s">
        <v>376</v>
      </c>
      <c r="C18" s="26" t="str">
        <f>INDEX(Company_Master!D:D,MATCH(B18,Company_Master!C:C,0))</f>
        <v>TOP SEA FRESH FISH - L.L.C</v>
      </c>
      <c r="D18" s="26"/>
      <c r="E18" s="26">
        <f>COUNTIF(Employee_Master!B:B,Com_Scr!B18)</f>
        <v>4</v>
      </c>
    </row>
    <row r="19" spans="1:5" x14ac:dyDescent="0.25">
      <c r="A19" s="26">
        <v>17</v>
      </c>
      <c r="B19" s="26" t="s">
        <v>378</v>
      </c>
      <c r="C19" s="26" t="str">
        <f>INDEX(Company_Master!D:D,MATCH(B19,Company_Master!C:C,0))</f>
        <v>T M GENERAL MAINTENANCE &amp; PROPERTY - L.L.C - S.P.C</v>
      </c>
      <c r="D19" s="26"/>
      <c r="E19" s="26">
        <f>COUNTIF(Employee_Master!B:B,Com_Scr!B19)</f>
        <v>5</v>
      </c>
    </row>
    <row r="20" spans="1:5" x14ac:dyDescent="0.25">
      <c r="A20" s="26">
        <v>18</v>
      </c>
      <c r="B20" s="26" t="s">
        <v>379</v>
      </c>
      <c r="C20" s="26" t="str">
        <f>INDEX(Company_Master!D:D,MATCH(B20,Company_Master!C:C,0))</f>
        <v>ILAMA FOODSTUFF TRADING - L.L.C - S.P.C</v>
      </c>
      <c r="D20" s="26"/>
      <c r="E20" s="26">
        <f>COUNTIF(Employee_Master!B:B,Com_Scr!B20)</f>
        <v>6</v>
      </c>
    </row>
    <row r="21" spans="1:5" x14ac:dyDescent="0.25">
      <c r="A21" s="26">
        <v>37</v>
      </c>
      <c r="B21" s="26" t="s">
        <v>381</v>
      </c>
      <c r="C21" s="26" t="str">
        <f>INDEX(Company_Master!D:D,MATCH(B21,Company_Master!C:C,0))</f>
        <v>FASTE AVENUE TRANSPORT - S.P.C-L.L.C</v>
      </c>
      <c r="D21" s="26"/>
      <c r="E21" s="26">
        <f>COUNTIF(Employee_Master!B:B,Com_Scr!B21)</f>
        <v>6</v>
      </c>
    </row>
    <row r="22" spans="1:5" x14ac:dyDescent="0.25">
      <c r="A22" s="26">
        <v>34</v>
      </c>
      <c r="B22" s="26" t="s">
        <v>383</v>
      </c>
      <c r="C22" s="26" t="str">
        <f>INDEX(Company_Master!D:D,MATCH(B22,Company_Master!C:C,0))</f>
        <v>AL NAJOUM EGG TRADING</v>
      </c>
      <c r="D22" s="26"/>
      <c r="E22" s="26">
        <f>COUNTIF(Employee_Master!B:B,Com_Scr!B22)</f>
        <v>8</v>
      </c>
    </row>
    <row r="23" spans="1:5" x14ac:dyDescent="0.25">
      <c r="A23" s="26">
        <v>19</v>
      </c>
      <c r="B23" s="26" t="s">
        <v>384</v>
      </c>
      <c r="C23" s="26" t="str">
        <f>INDEX(Company_Master!D:D,MATCH(B23,Company_Master!C:C,0))</f>
        <v>XOFOZ  INFORMATION TECHNOLOGY -L.L.C. SPC</v>
      </c>
      <c r="D23" s="26"/>
      <c r="E23" s="26">
        <f>COUNTIF(Employee_Master!B:B,Com_Scr!B23)</f>
        <v>16</v>
      </c>
    </row>
    <row r="24" spans="1:5" x14ac:dyDescent="0.25">
      <c r="A24" s="26">
        <v>20</v>
      </c>
      <c r="B24" s="26" t="s">
        <v>386</v>
      </c>
      <c r="C24" s="26" t="str">
        <f>INDEX(Company_Master!D:D,MATCH(B24,Company_Master!C:C,0))</f>
        <v>SKILLSAFE TRAINING AND INSPECTION SERVICES -L.L.C - O.PC</v>
      </c>
      <c r="D24" s="26"/>
      <c r="E24" s="26">
        <f>COUNTIF(Employee_Master!B:B,Com_Scr!B24)</f>
        <v>15</v>
      </c>
    </row>
    <row r="25" spans="1:5" x14ac:dyDescent="0.25">
      <c r="A25" s="26">
        <v>21</v>
      </c>
      <c r="B25" s="26" t="s">
        <v>387</v>
      </c>
      <c r="C25" s="26" t="str">
        <f>INDEX(Company_Master!D:D,MATCH(B25,Company_Master!C:C,0))</f>
        <v>DATA BOOKKEEPING AND ACCOUNTING SERVICES</v>
      </c>
      <c r="D25" s="26"/>
      <c r="E25" s="26">
        <f>COUNTIF(Employee_Master!B:B,Com_Scr!B25)</f>
        <v>3</v>
      </c>
    </row>
    <row r="26" spans="1:5" x14ac:dyDescent="0.25">
      <c r="A26" s="26">
        <v>22</v>
      </c>
      <c r="B26" s="26" t="s">
        <v>389</v>
      </c>
      <c r="C26" s="26" t="str">
        <f>INDEX(Company_Master!D:D,MATCH(B26,Company_Master!C:C,0))</f>
        <v>KIRAT GENERAL TRANSPORT-L.L.C</v>
      </c>
      <c r="D26" s="26"/>
      <c r="E26" s="26">
        <f>COUNTIF(Employee_Master!B:B,Com_Scr!B26)</f>
        <v>18</v>
      </c>
    </row>
    <row r="27" spans="1:5" x14ac:dyDescent="0.25">
      <c r="A27" s="26">
        <v>23</v>
      </c>
      <c r="B27" s="26" t="s">
        <v>396</v>
      </c>
      <c r="C27" s="26" t="str">
        <f>INDEX(Company_Master!D:D,MATCH(B27,Company_Master!C:C,0))</f>
        <v>RIFA FRUITS AND VEGETABLES L.L.C- S.P.C</v>
      </c>
      <c r="D27" s="26"/>
      <c r="E27" s="26">
        <f>COUNTIF(Employee_Master!B:B,Com_Scr!B27)</f>
        <v>4</v>
      </c>
    </row>
    <row r="28" spans="1:5" x14ac:dyDescent="0.25">
      <c r="A28" s="26">
        <v>24</v>
      </c>
      <c r="B28" s="26" t="s">
        <v>399</v>
      </c>
      <c r="C28" s="26" t="str">
        <f>INDEX(Company_Master!D:D,MATCH(B28,Company_Master!C:C,0))</f>
        <v>POPULAR LOGISTICS SERVICES - L.L.C - O.P.C</v>
      </c>
      <c r="D28" s="26"/>
      <c r="E28" s="26">
        <f>COUNTIF(Employee_Master!B:B,Com_Scr!B28)</f>
        <v>12</v>
      </c>
    </row>
    <row r="29" spans="1:5" x14ac:dyDescent="0.25">
      <c r="A29" s="26">
        <v>25</v>
      </c>
      <c r="B29" s="26" t="s">
        <v>400</v>
      </c>
      <c r="C29" s="26" t="str">
        <f>INDEX(Company_Master!D:D,MATCH(B29,Company_Master!C:C,0))</f>
        <v>ROYAL DELUXE GENERAL TRANSPORTING - L.L.C - S.P.C</v>
      </c>
      <c r="D29" s="26"/>
      <c r="E29" s="26">
        <f>COUNTIF(Employee_Master!B:B,Com_Scr!B29)</f>
        <v>17</v>
      </c>
    </row>
    <row r="30" spans="1:5" x14ac:dyDescent="0.25">
      <c r="A30" s="26">
        <v>26</v>
      </c>
      <c r="B30" s="26" t="s">
        <v>403</v>
      </c>
      <c r="C30" s="26" t="str">
        <f>INDEX(Company_Master!D:D,MATCH(B30,Company_Master!C:C,0))</f>
        <v>HEXA GENERAL MAINTENANCE - L.L.C - S.P.C</v>
      </c>
      <c r="D30" s="26"/>
      <c r="E30" s="26">
        <f>COUNTIF(Employee_Master!B:B,Com_Scr!B30)</f>
        <v>12</v>
      </c>
    </row>
    <row r="31" spans="1:5" x14ac:dyDescent="0.25">
      <c r="A31" s="26">
        <v>27</v>
      </c>
      <c r="B31" s="26" t="s">
        <v>405</v>
      </c>
      <c r="C31" s="26" t="str">
        <f>INDEX(Company_Master!D:D,MATCH(B31,Company_Master!C:C,0))</f>
        <v>MARDAN MEDICAL CENTER S.P.C - L.L.C</v>
      </c>
      <c r="D31" s="26"/>
      <c r="E31" s="26">
        <f>COUNTIF(Employee_Master!B:B,Com_Scr!B31)</f>
        <v>9</v>
      </c>
    </row>
    <row r="32" spans="1:5" x14ac:dyDescent="0.25">
      <c r="A32" s="26">
        <v>28</v>
      </c>
      <c r="B32" s="26" t="s">
        <v>406</v>
      </c>
      <c r="C32" s="26" t="str">
        <f>INDEX(Company_Master!D:D,MATCH(B32,Company_Master!C:C,0))</f>
        <v>NOOR AL SHIFA PHARMACY</v>
      </c>
      <c r="D32" s="26"/>
      <c r="E32" s="26">
        <f>COUNTIF(Employee_Master!B:B,Com_Scr!B32)</f>
        <v>3</v>
      </c>
    </row>
    <row r="33" spans="1:5" x14ac:dyDescent="0.25">
      <c r="A33" s="26">
        <v>32</v>
      </c>
      <c r="B33" s="26" t="s">
        <v>429</v>
      </c>
      <c r="C33" s="26" t="str">
        <f>INDEX(Company_Master!D:D,MATCH(B33,Company_Master!C:C,0))</f>
        <v>MID NIGHT SAFARI AND TOURS</v>
      </c>
      <c r="D33" s="26"/>
      <c r="E33" s="26">
        <f>COUNTIF(Employee_Master!B:B,Com_Scr!B33)</f>
        <v>6</v>
      </c>
    </row>
    <row r="34" spans="1:5" x14ac:dyDescent="0.25">
      <c r="A34" s="26">
        <v>33</v>
      </c>
      <c r="B34" s="26" t="s">
        <v>433</v>
      </c>
      <c r="C34" s="26" t="str">
        <f>INDEX(Company_Master!D:D,MATCH(B34,Company_Master!C:C,0))</f>
        <v>POPULAR CHARCOAL TRADING</v>
      </c>
      <c r="D34" s="26"/>
      <c r="E34" s="26">
        <f>COUNTIF(Employee_Master!B:B,Com_Scr!B34)</f>
        <v>3</v>
      </c>
    </row>
    <row r="35" spans="1:5" x14ac:dyDescent="0.25">
      <c r="A35" s="26">
        <v>38</v>
      </c>
      <c r="B35" s="26" t="s">
        <v>435</v>
      </c>
      <c r="C35" s="26" t="str">
        <f>INDEX(Company_Master!D:D,MATCH(B35,Company_Master!C:C,0))</f>
        <v>GREEN CORNER CAFETERIA SPC L L C</v>
      </c>
      <c r="D35" s="26"/>
      <c r="E35" s="26">
        <f>COUNTIF(Employee_Master!B:B,Com_Scr!B35)</f>
        <v>12</v>
      </c>
    </row>
    <row r="36" spans="1:5" x14ac:dyDescent="0.25">
      <c r="A36" s="26">
        <v>29</v>
      </c>
      <c r="B36" s="26" t="s">
        <v>470</v>
      </c>
      <c r="C36" s="26" t="str">
        <f>INDEX(Company_Master!D:D,MATCH(B36,Company_Master!C:C,0))</f>
        <v>IZWA FRUITS AND VEGETABLES.L.L.C - O.P.C</v>
      </c>
      <c r="D36" s="26"/>
      <c r="E36" s="26">
        <f>COUNTIF(Employee_Master!B:B,Com_Scr!B36)</f>
        <v>7</v>
      </c>
    </row>
    <row r="37" spans="1:5" x14ac:dyDescent="0.25">
      <c r="A37" s="26">
        <v>30</v>
      </c>
      <c r="B37" s="26" t="s">
        <v>543</v>
      </c>
      <c r="C37" s="26" t="str">
        <f>INDEX(Company_Master!D:D,MATCH(B37,Company_Master!C:C,0))</f>
        <v>NORTH DESIGN -L.L.C- O.P.C</v>
      </c>
      <c r="D37" s="26"/>
      <c r="E37" s="26">
        <f>COUNTIF(Employee_Master!B:B,Com_Scr!B37)</f>
        <v>6</v>
      </c>
    </row>
    <row r="38" spans="1:5" x14ac:dyDescent="0.25">
      <c r="A38" s="26">
        <v>31</v>
      </c>
      <c r="B38" s="26" t="s">
        <v>706</v>
      </c>
      <c r="C38" s="26" t="str">
        <f>INDEX(Company_Master!D:D,MATCH(B38,Company_Master!C:C,0))</f>
        <v>CHATTAGRAM GENERAL TRANSPORT -L.L.C -S.PC</v>
      </c>
      <c r="D38" s="26"/>
      <c r="E38" s="26">
        <f>COUNTIF(Employee_Master!B:B,Com_Scr!B38)</f>
        <v>12</v>
      </c>
    </row>
    <row r="39" spans="1:5" x14ac:dyDescent="0.25">
      <c r="A39" s="26">
        <v>35</v>
      </c>
      <c r="B39" s="26" t="s">
        <v>933</v>
      </c>
      <c r="C39" s="26" t="str">
        <f>INDEX(Company_Master!D:D,MATCH(B39,Company_Master!C:C,0))</f>
        <v>CENTURY EXPRESS FREIGHT SERVICE L.L.C</v>
      </c>
      <c r="D39" s="26"/>
      <c r="E39" s="26">
        <f>COUNTIF(Employee_Master!B:B,Com_Scr!B39)</f>
        <v>12</v>
      </c>
    </row>
    <row r="40" spans="1:5" x14ac:dyDescent="0.25">
      <c r="A40" s="26">
        <v>36</v>
      </c>
      <c r="B40" s="26" t="s">
        <v>940</v>
      </c>
      <c r="C40" s="26" t="str">
        <f>INDEX(Company_Master!D:D,MATCH(B40,Company_Master!C:C,0))</f>
        <v>CENTURY EXPRESS FREIGHT SERVICE L.L.C- BRANCH</v>
      </c>
      <c r="D40" s="26"/>
      <c r="E40" s="26">
        <f>COUNTIF(Employee_Master!B:B,Com_Scr!B40)</f>
        <v>3</v>
      </c>
    </row>
    <row r="41" spans="1:5" x14ac:dyDescent="0.25">
      <c r="A41" s="26">
        <v>37</v>
      </c>
      <c r="B41" s="26" t="s">
        <v>974</v>
      </c>
      <c r="C41" s="26" t="str">
        <f>INDEX(Company_Master!D:D,MATCH(B41,Company_Master!C:C,0))</f>
        <v>LINEAR OPTICS SOLE PROPRIETORSHIP L.L.C</v>
      </c>
      <c r="D41" s="26"/>
      <c r="E41" s="26">
        <f>COUNTIF(Employee_Master!B:B,Com_Scr!B41)</f>
        <v>3</v>
      </c>
    </row>
    <row r="42" spans="1:5" x14ac:dyDescent="0.25">
      <c r="A42" s="26">
        <v>38</v>
      </c>
      <c r="B42" s="26" t="s">
        <v>977</v>
      </c>
      <c r="C42" s="26" t="str">
        <f>INDEX(Company_Master!D:D,MATCH(B42,Company_Master!C:C,0))</f>
        <v>SABIR C-O</v>
      </c>
      <c r="D42" s="26"/>
      <c r="E42" s="26">
        <f>COUNTIF(Employee_Master!B:B,Com_Scr!B42)</f>
        <v>0</v>
      </c>
    </row>
    <row r="43" spans="1:5" s="34" customFormat="1" x14ac:dyDescent="0.25">
      <c r="A43" s="26"/>
      <c r="B43" s="26"/>
      <c r="C43" s="26"/>
      <c r="D43" s="26"/>
      <c r="E43" s="26"/>
    </row>
    <row r="44" spans="1:5" x14ac:dyDescent="0.25">
      <c r="A44" s="26"/>
      <c r="B44" s="26">
        <v>0</v>
      </c>
      <c r="C44" s="26"/>
      <c r="D44" s="26"/>
      <c r="E44" s="26"/>
    </row>
    <row r="45" spans="1:5" x14ac:dyDescent="0.25">
      <c r="A45" s="26"/>
      <c r="B45" s="26"/>
      <c r="C45" s="26"/>
      <c r="D45" s="26"/>
      <c r="E45" s="26">
        <f>SUM(E2:E42)</f>
        <v>380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E46C-D05F-4449-BA6A-9600832EFF0E}">
  <dimension ref="A1:D3"/>
  <sheetViews>
    <sheetView workbookViewId="0">
      <selection activeCell="A3" sqref="A3"/>
    </sheetView>
  </sheetViews>
  <sheetFormatPr defaultRowHeight="15" x14ac:dyDescent="0.25"/>
  <cols>
    <col min="2" max="2" width="15.140625" bestFit="1" customWidth="1"/>
    <col min="3" max="3" width="20.140625" bestFit="1" customWidth="1"/>
    <col min="4" max="4" width="17.5703125" customWidth="1"/>
  </cols>
  <sheetData>
    <row r="1" spans="1:4" x14ac:dyDescent="0.25">
      <c r="A1" s="42" t="s">
        <v>968</v>
      </c>
      <c r="B1" s="42"/>
      <c r="C1" s="42"/>
      <c r="D1" s="42"/>
    </row>
    <row r="2" spans="1:4" x14ac:dyDescent="0.25">
      <c r="A2" t="s">
        <v>963</v>
      </c>
      <c r="B2" t="s">
        <v>0</v>
      </c>
      <c r="C2" t="s">
        <v>964</v>
      </c>
      <c r="D2" t="s">
        <v>965</v>
      </c>
    </row>
    <row r="3" spans="1:4" x14ac:dyDescent="0.25">
      <c r="A3">
        <v>1</v>
      </c>
      <c r="B3" t="s">
        <v>966</v>
      </c>
      <c r="C3" t="s">
        <v>967</v>
      </c>
      <c r="D3">
        <v>523202606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Company_Master</vt:lpstr>
      <vt:lpstr>Employee_Master</vt:lpstr>
      <vt:lpstr>Com_Scr</vt:lpstr>
      <vt:lpstr>Marketing List</vt:lpstr>
      <vt:lpstr>Com_Scr!Print_Area</vt:lpstr>
      <vt:lpstr>Company_Master!Print_Area</vt:lpstr>
      <vt:lpstr>Employee_Master!Print_Area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2026-04-28T08:11:38Z</cp:lastPrinted>
  <dcterms:created xsi:type="dcterms:W3CDTF">2026-04-07T12:33:11Z</dcterms:created>
  <dcterms:modified xsi:type="dcterms:W3CDTF">2026-04-28T15:54:00Z</dcterms:modified>
</cp:coreProperties>
</file>